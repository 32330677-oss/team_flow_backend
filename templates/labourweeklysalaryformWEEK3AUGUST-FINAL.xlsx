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irst pay" sheetId="1" state="visible" r:id="rId1"/>
    <sheet name="Sheet1" sheetId="2" state="hidden" r:id="rId2"/>
    <sheet name="Sheet2" sheetId="3" state="visible" r:id="rId3"/>
  </sheets>
  <definedNames>
    <definedName name="_xlnm._FilterDatabase" localSheetId="0" hidden="1">'first pay'!$A$2:$T$65</definedName>
    <definedName name="_xlnm.Print_Area" localSheetId="0">'first pay'!$A$1:$T$63</definedName>
    <definedName name="Print_Titles" localSheetId="0">'first pay'!$1:$2</definedName>
    <definedName name="_xlnm._FilterDatabase" localSheetId="2" hidden="1">Sheet2!$B$1:$B$60</definedName>
    <definedName name="_xlnm.Print_Area" localSheetId="2">Sheet2!$A$1:$F$59</definedName>
    <definedName name="_xlnm._FilterDatabase" localSheetId="2" hidden="1">Sheet2!$B$1:$B$60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<sst xmlns="http://schemas.openxmlformats.org/spreadsheetml/2006/main" count="145" uniqueCount="145">
  <si>
    <t xml:space="preserve">APRIL PAYROLL FROM  TO </t>
  </si>
  <si>
    <t>S/N</t>
  </si>
  <si>
    <t>Name</t>
  </si>
  <si>
    <t>ID</t>
  </si>
  <si>
    <t>Nationality</t>
  </si>
  <si>
    <t xml:space="preserve">Occupation on ID</t>
  </si>
  <si>
    <t>DOB</t>
  </si>
  <si>
    <t xml:space="preserve">          ID            Expiry Date</t>
  </si>
  <si>
    <t xml:space="preserve">Passport No.</t>
  </si>
  <si>
    <t xml:space="preserve">Passport Expiry Date</t>
  </si>
  <si>
    <t>Sponsor</t>
  </si>
  <si>
    <t xml:space="preserve">Current Trade</t>
  </si>
  <si>
    <t>Month</t>
  </si>
  <si>
    <t xml:space="preserve">Basic Salary</t>
  </si>
  <si>
    <t xml:space="preserve">Basic Hourly Rate</t>
  </si>
  <si>
    <t xml:space="preserve">Overtime Hourly Rate</t>
  </si>
  <si>
    <t>Days</t>
  </si>
  <si>
    <t>Hours</t>
  </si>
  <si>
    <t xml:space="preserve">Normal Hours</t>
  </si>
  <si>
    <t xml:space="preserve">OT Hours</t>
  </si>
  <si>
    <t xml:space="preserve">Friday Day</t>
  </si>
  <si>
    <t xml:space="preserve">Basic pay</t>
  </si>
  <si>
    <t xml:space="preserve">OT Pay</t>
  </si>
  <si>
    <t>Sum</t>
  </si>
  <si>
    <t xml:space="preserve">Employee Signature</t>
  </si>
  <si>
    <t xml:space="preserve">Employee Fingerprint</t>
  </si>
  <si>
    <t>Remarks</t>
  </si>
  <si>
    <t xml:space="preserve">Abdilrahman Abdallah- عبدالرحمن العبدالله</t>
  </si>
  <si>
    <t xml:space="preserve">Syrian </t>
  </si>
  <si>
    <t>Labor</t>
  </si>
  <si>
    <t xml:space="preserve">Abdulqader Hseen alabdallah عبدالقادر حسين العبدالله</t>
  </si>
  <si>
    <t xml:space="preserve">Abdulrahman Ali Aldawla عبدالرحمن علي الدولة</t>
  </si>
  <si>
    <t xml:space="preserve">Abdulsalam Alabdallah عبدالسلام العبدالله</t>
  </si>
  <si>
    <t xml:space="preserve">Ahmad Ali Aldawla أحمد علي الدولة</t>
  </si>
  <si>
    <t xml:space="preserve">Ahmad Awad Mansor أحمد عواد منصور</t>
  </si>
  <si>
    <t xml:space="preserve">Akkash Alsayed عكّاش السيد</t>
  </si>
  <si>
    <t xml:space="preserve">Ali Dghem - علي دغيم</t>
  </si>
  <si>
    <t xml:space="preserve">Ali Okla علي عكلة</t>
  </si>
  <si>
    <t xml:space="preserve">Ali Saleh - علي صالح</t>
  </si>
  <si>
    <t xml:space="preserve">Ali Shamma علي شمّة</t>
  </si>
  <si>
    <t xml:space="preserve">Hamad Al Hammod - حمد الحمود</t>
  </si>
  <si>
    <t xml:space="preserve">Hamad Ali Alsobekh حمد علي  الصبخ</t>
  </si>
  <si>
    <t xml:space="preserve">Hasan jazzaa حسن جزّاع</t>
  </si>
  <si>
    <t xml:space="preserve">Hassan Dghem - حسان دغيم</t>
  </si>
  <si>
    <t xml:space="preserve">Hilal Dghem - هلال دغيم  </t>
  </si>
  <si>
    <t xml:space="preserve">Hseen alsayed حسين السيّد</t>
  </si>
  <si>
    <t xml:space="preserve">Ibrahim Nawwara إبراهيم نوّارة</t>
  </si>
  <si>
    <t xml:space="preserve">Ismail Ali Aldola اسماعيل علي الدولة</t>
  </si>
  <si>
    <t xml:space="preserve">Jihad Ghneem جهاد غنيم</t>
  </si>
  <si>
    <t xml:space="preserve">Khaled Dghem خالد دغيم</t>
  </si>
  <si>
    <t xml:space="preserve">Khaled Hassan Dghem خالد حسّان دغيم</t>
  </si>
  <si>
    <t xml:space="preserve">Majedd Hseen Abdallah ماجد حسين عبدالله</t>
  </si>
  <si>
    <t xml:space="preserve">Matrod Dghem مطرود دغيم</t>
  </si>
  <si>
    <t xml:space="preserve">Mohamad Dghem محمد دغيم</t>
  </si>
  <si>
    <t xml:space="preserve">Mostafa Alhmeed مصطفى الحميد</t>
  </si>
  <si>
    <t xml:space="preserve">Muhannad Alabdallah مهند العبدالله</t>
  </si>
  <si>
    <t xml:space="preserve">Muneer Ali Aldawla منير علي الدولة</t>
  </si>
  <si>
    <t xml:space="preserve">Naser Al Khalaf  ناصر خلف</t>
  </si>
  <si>
    <t xml:space="preserve">Oday Najem Alhezbe عدي نجم الهزبة</t>
  </si>
  <si>
    <t xml:space="preserve">Wael Dghem وائل دغيم</t>
  </si>
  <si>
    <t xml:space="preserve">Yousef Awad Mansor يوسف عواد منصور</t>
  </si>
  <si>
    <t xml:space="preserve">Hseen Ali Dghem - حسين علي دغيم</t>
  </si>
  <si>
    <t xml:space="preserve">Totals </t>
  </si>
  <si>
    <t xml:space="preserve">Sum Basic</t>
  </si>
  <si>
    <t xml:space="preserve">Sum OT </t>
  </si>
  <si>
    <t xml:space="preserve">Sum Total Due</t>
  </si>
  <si>
    <t>NAME</t>
  </si>
  <si>
    <t>TRADE</t>
  </si>
  <si>
    <t>HOURS</t>
  </si>
  <si>
    <t xml:space="preserve">OV HOURS</t>
  </si>
  <si>
    <t xml:space="preserve">DATE OF WORKING DAYS</t>
  </si>
  <si>
    <t xml:space="preserve"> عبدالرحمن العبدالله (ليلي)</t>
  </si>
  <si>
    <t xml:space="preserve">15/8/2026 --20/8/2026</t>
  </si>
  <si>
    <t xml:space="preserve"> عبدالرحمن العبدالله</t>
  </si>
  <si>
    <t xml:space="preserve"> عبدالقادر حسين العبدالله (ليلي)</t>
  </si>
  <si>
    <t xml:space="preserve"> عبدالقادر حسين العبدالله</t>
  </si>
  <si>
    <t xml:space="preserve"> أحمد علي الدولة</t>
  </si>
  <si>
    <t xml:space="preserve"> علي صالح</t>
  </si>
  <si>
    <t xml:space="preserve">حسن جزّاع</t>
  </si>
  <si>
    <t>نجار</t>
  </si>
  <si>
    <t xml:space="preserve"> خالد حسّان دغيم</t>
  </si>
  <si>
    <t xml:space="preserve"> ماجد حسين عبدالله</t>
  </si>
  <si>
    <t xml:space="preserve"> مطرود دغيم</t>
  </si>
  <si>
    <t xml:space="preserve"> مهند العبدالله</t>
  </si>
  <si>
    <t xml:space="preserve"> منير علي الدولة</t>
  </si>
  <si>
    <t xml:space="preserve"> يوسف عواد منصور (ليلي)</t>
  </si>
  <si>
    <t xml:space="preserve"> يوسف عواد منصور</t>
  </si>
  <si>
    <t xml:space="preserve"> حسين علي دغيم</t>
  </si>
  <si>
    <t xml:space="preserve">مهند احمد العبد (ليلي)</t>
  </si>
  <si>
    <t xml:space="preserve">مهند احمد العبد</t>
  </si>
  <si>
    <t xml:space="preserve">احمد جميل الخلوف</t>
  </si>
  <si>
    <t xml:space="preserve">عبد الله النواف العبدالله</t>
  </si>
  <si>
    <t xml:space="preserve">عبد الكريم العبدالله الخليفة</t>
  </si>
  <si>
    <t xml:space="preserve">سعيد الحسين</t>
  </si>
  <si>
    <t xml:space="preserve">عبدالله الصالح</t>
  </si>
  <si>
    <t xml:space="preserve">خلف عبيد</t>
  </si>
  <si>
    <t xml:space="preserve">عبد السلام فرحان رمضان</t>
  </si>
  <si>
    <t xml:space="preserve">ناصر هواش الشيخ (ليلي)</t>
  </si>
  <si>
    <t xml:space="preserve">ناصر هواش الشيخ</t>
  </si>
  <si>
    <t xml:space="preserve">عبد اللطيف خضر العواد (ليلي)</t>
  </si>
  <si>
    <t xml:space="preserve">عبد اللطيف خضر العواد</t>
  </si>
  <si>
    <t xml:space="preserve">سليمان فرحان رمضان</t>
  </si>
  <si>
    <t xml:space="preserve">علي احمد المشنا</t>
  </si>
  <si>
    <t xml:space="preserve">ياسين عبدالله حمد</t>
  </si>
  <si>
    <t xml:space="preserve">عبد الرحمن جاسم الحميد (ليلي)</t>
  </si>
  <si>
    <t xml:space="preserve">عبد الرحمن جاسم الحميد</t>
  </si>
  <si>
    <t xml:space="preserve">محمد حبش محمد رسول (ليلي)</t>
  </si>
  <si>
    <t xml:space="preserve">محمد حبش محمد رسول</t>
  </si>
  <si>
    <t xml:space="preserve">حمد علي الصبخ</t>
  </si>
  <si>
    <t xml:space="preserve">عكاش السيد</t>
  </si>
  <si>
    <t xml:space="preserve">علي إبراهيم المروح (ليلي)</t>
  </si>
  <si>
    <t xml:space="preserve">علي إبراهيم المروح</t>
  </si>
  <si>
    <t xml:space="preserve">محمد شنيان</t>
  </si>
  <si>
    <t xml:space="preserve">سامي منصور (ليلي)</t>
  </si>
  <si>
    <t xml:space="preserve">سامي منصور</t>
  </si>
  <si>
    <t xml:space="preserve">علي شنيان</t>
  </si>
  <si>
    <t xml:space="preserve">محمود شنيان</t>
  </si>
  <si>
    <t xml:space="preserve">محمد كحم</t>
  </si>
  <si>
    <t xml:space="preserve">فهد خليف سعيد</t>
  </si>
  <si>
    <t xml:space="preserve">نواف العبدالله الحمد</t>
  </si>
  <si>
    <t xml:space="preserve">ماجد إبراهيم عويد</t>
  </si>
  <si>
    <t xml:space="preserve">خالد إبراهيم عويد</t>
  </si>
  <si>
    <t xml:space="preserve">عماد احمد الخلف</t>
  </si>
  <si>
    <t xml:space="preserve">علاء جميل خلوف</t>
  </si>
  <si>
    <t xml:space="preserve">رعد حمادة الطه (ليلي)</t>
  </si>
  <si>
    <t xml:space="preserve">رعد حمادة الطه</t>
  </si>
  <si>
    <t xml:space="preserve">حسين حسن الحسين</t>
  </si>
  <si>
    <t xml:space="preserve">حسن وريور</t>
  </si>
  <si>
    <t xml:space="preserve">محمد عبد الكريم</t>
  </si>
  <si>
    <t xml:space="preserve">عمار الحمود</t>
  </si>
  <si>
    <t xml:space="preserve">عبد السلام مليح العبدالله (ليلي)</t>
  </si>
  <si>
    <t xml:space="preserve">عبد السلام مليح العبدالله</t>
  </si>
  <si>
    <t xml:space="preserve">مرهف محمد امين  (ليلي)</t>
  </si>
  <si>
    <t xml:space="preserve">مرهف محمد امين </t>
  </si>
  <si>
    <t xml:space="preserve">علاء علي الدولة</t>
  </si>
  <si>
    <t xml:space="preserve">غاوي عمار رمضان </t>
  </si>
  <si>
    <t xml:space="preserve">احمد الفرج </t>
  </si>
  <si>
    <t xml:space="preserve">علي عكلا </t>
  </si>
  <si>
    <t xml:space="preserve">محمد العباس</t>
  </si>
  <si>
    <t>طيان</t>
  </si>
  <si>
    <t xml:space="preserve">اياد حسن العلي</t>
  </si>
  <si>
    <t xml:space="preserve">عمر الحاجي</t>
  </si>
  <si>
    <t xml:space="preserve">حاتم الحاجي</t>
  </si>
  <si>
    <t xml:space="preserve">عبدالرحمن الصالح</t>
  </si>
  <si>
    <t xml:space="preserve">مهند الشاهر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</si>
</sst>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#,##0.0"/>
    <numFmt numFmtId="167" formatCode="_-* #,##0.00\ [$ل.س.‏-2801]_-;\-* #,##0.00\ [$ل.س.‏-2801]_-;_-* &quot;-&quot;??\ [$ل.س.‏-2801]_-;_-@_-"/>
    <numFmt numFmtId="168" formatCode="_-* #,##0\ [$ل.س.‏-2801]_-;\-* #,##0\ [$ل.س.‏-2801]_-;_-* &quot;-&quot;??\ [$ل.س.‏-2801]_-;_-@_-"/>
  </numFmts>
  <fonts count="26">
    <font>
      <sz val="11.000000"/>
      <color theme="1"/>
      <name val="Calibri"/>
    </font>
    <font>
      <sz val="11.000000"/>
      <name val="Calibri"/>
    </font>
    <font>
      <b/>
      <sz val="16.000000"/>
      <name val="Bahnschrift"/>
    </font>
    <font>
      <b/>
      <sz val="12.000000"/>
      <name val="Bahnschrift"/>
    </font>
    <font>
      <sz val="8.000000"/>
      <name val="Calibri"/>
    </font>
    <font>
      <sz val="20.000000"/>
      <name val="Calibri"/>
    </font>
    <font>
      <sz val="9.000000"/>
      <name val="Calibri"/>
    </font>
    <font>
      <sz val="24.000000"/>
      <name val="Calibri"/>
    </font>
    <font>
      <sz val="7.000000"/>
      <name val="Bahnschrift Light"/>
    </font>
    <font>
      <sz val="16.000000"/>
      <name val="Bahnschrift Light"/>
    </font>
    <font>
      <sz val="9.000000"/>
      <name val="Bahnschrift Light"/>
    </font>
    <font>
      <b/>
      <sz val="11.000000"/>
      <name val="Bahnschrift Light"/>
    </font>
    <font>
      <b/>
      <sz val="16.000000"/>
      <name val="Calibri"/>
    </font>
    <font>
      <sz val="10.000000"/>
      <name val="Bahnschrift Light"/>
    </font>
    <font>
      <sz val="18.000000"/>
      <color theme="1"/>
      <name val="Bahnschrift"/>
    </font>
    <font>
      <sz val="12.000000"/>
      <name val="Bahnschrift Light"/>
    </font>
    <font>
      <sz val="18.000000"/>
      <name val="Bahnschrift Light"/>
    </font>
    <font>
      <sz val="28.000000"/>
      <name val="Calibri"/>
    </font>
    <font>
      <sz val="10.000000"/>
      <name val="Bahnschrift"/>
    </font>
    <font>
      <sz val="8.000000"/>
      <name val="Bahnschrift"/>
    </font>
    <font>
      <b/>
      <sz val="11.000000"/>
      <name val="Bahnschrift"/>
    </font>
    <font>
      <sz val="10.000000"/>
      <name val="Calibri"/>
    </font>
    <font>
      <sz val="18.000000"/>
      <name val="Bahnschrift"/>
    </font>
    <font>
      <b/>
      <sz val="12.000000"/>
      <name val="Bahnschrift Light"/>
    </font>
    <font>
      <sz val="10.000000"/>
      <color theme="1"/>
      <name val="Bahnschrift"/>
    </font>
    <font>
      <sz val="9.000000"/>
      <color theme="1"/>
      <name val="Bahnschrift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</patternFill>
    </fill>
    <fill>
      <patternFill patternType="solid">
        <fgColor theme="0"/>
      </patternFill>
    </fill>
    <fill>
      <patternFill patternType="solid">
        <fgColor theme="9" tint="0.59999389629810485"/>
      </patternFill>
    </fill>
    <fill>
      <patternFill patternType="solid">
        <fgColor theme="8" tint="0.79998168889431442"/>
      </patternFill>
    </fill>
    <fill>
      <patternFill patternType="solid">
        <fgColor theme="9" tint="0.79998168889431442"/>
      </patternFill>
    </fill>
    <fill>
      <patternFill patternType="solid">
        <fgColor rgb="FFFFC000"/>
      </patternFill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</cellStyleXfs>
  <cellXfs count="109">
    <xf fontId="0" fillId="0" borderId="0" numFmtId="0" xfId="0"/>
    <xf fontId="1" fillId="0" borderId="0" numFmtId="0" xfId="0" applyFont="1"/>
    <xf fontId="0" fillId="0" borderId="0" numFmtId="0" xfId="0" applyAlignment="1">
      <alignment horizontal="center" vertical="center"/>
    </xf>
    <xf fontId="2" fillId="2" borderId="1" numFmtId="0" xfId="0" applyFont="1" applyFill="1" applyBorder="1" applyAlignment="1">
      <alignment horizontal="center" vertical="center" wrapText="1"/>
    </xf>
    <xf fontId="3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>
      <alignment horizontal="center" vertical="center" wrapText="1"/>
    </xf>
    <xf fontId="4" fillId="0" borderId="0" numFmtId="0" xfId="0" applyFont="1"/>
    <xf fontId="1" fillId="3" borderId="4" numFmtId="0" xfId="0" applyFont="1" applyFill="1" applyBorder="1" applyAlignment="1">
      <alignment horizontal="center" vertical="center"/>
    </xf>
    <xf fontId="5" fillId="3" borderId="4" numFmtId="0" xfId="0" applyFont="1" applyFill="1" applyBorder="1" applyAlignment="1">
      <alignment horizontal="center" vertical="center"/>
    </xf>
    <xf fontId="6" fillId="3" borderId="4" numFmtId="0" xfId="0" applyFont="1" applyFill="1" applyBorder="1" applyAlignment="1">
      <alignment horizontal="center" vertical="center"/>
    </xf>
    <xf fontId="6" fillId="3" borderId="4" numFmtId="0" xfId="0" applyFont="1" applyFill="1" applyBorder="1" applyAlignment="1">
      <alignment horizontal="center" vertical="center" wrapText="1"/>
    </xf>
    <xf fontId="6" fillId="3" borderId="4" numFmtId="49" xfId="0" applyNumberFormat="1" applyFont="1" applyFill="1" applyBorder="1" applyAlignment="1">
      <alignment horizontal="center" vertical="center" wrapText="1"/>
    </xf>
    <xf fontId="4" fillId="3" borderId="4" numFmtId="0" xfId="0" applyFont="1" applyFill="1" applyBorder="1" applyAlignment="1">
      <alignment horizontal="center" vertical="center"/>
    </xf>
    <xf fontId="7" fillId="4" borderId="4" numFmtId="0" xfId="0" applyFont="1" applyFill="1" applyBorder="1" applyAlignment="1">
      <alignment horizontal="center" vertical="center"/>
    </xf>
    <xf fontId="8" fillId="0" borderId="4" numFmtId="0" xfId="0" applyFont="1" applyBorder="1" applyAlignment="1">
      <alignment horizontal="center" wrapText="1"/>
    </xf>
    <xf fontId="9" fillId="0" borderId="4" numFmtId="0" xfId="0" applyFont="1" applyBorder="1" applyAlignment="1">
      <alignment horizontal="center" vertical="center" wrapText="1"/>
    </xf>
    <xf fontId="10" fillId="0" borderId="4" numFmtId="15" xfId="0" applyNumberFormat="1" applyFont="1" applyBorder="1" applyAlignment="1">
      <alignment horizontal="center" vertical="center" wrapText="1"/>
    </xf>
    <xf fontId="10" fillId="5" borderId="4" numFmtId="3" xfId="0" applyNumberFormat="1" applyFont="1" applyFill="1" applyBorder="1" applyAlignment="1">
      <alignment horizontal="center" vertical="center" wrapText="1"/>
    </xf>
    <xf fontId="10" fillId="5" borderId="4" numFmtId="4" xfId="0" applyNumberFormat="1" applyFont="1" applyFill="1" applyBorder="1" applyAlignment="1">
      <alignment horizontal="center" vertical="center" wrapText="1"/>
    </xf>
    <xf fontId="0" fillId="4" borderId="4" numFmtId="0" xfId="0" applyFill="1" applyBorder="1" applyAlignment="1">
      <alignment horizontal="center" vertical="center"/>
    </xf>
    <xf fontId="11" fillId="5" borderId="4" numFmtId="3" xfId="0" applyNumberFormat="1" applyFont="1" applyFill="1" applyBorder="1" applyAlignment="1">
      <alignment horizontal="center" vertical="center" wrapText="1"/>
    </xf>
    <xf fontId="0" fillId="0" borderId="4" numFmtId="0" xfId="0" applyBorder="1" applyAlignment="1">
      <alignment horizontal="left" vertical="top"/>
    </xf>
    <xf fontId="12" fillId="6" borderId="4" numFmtId="0" xfId="0" applyFont="1" applyFill="1" applyBorder="1" applyAlignment="1">
      <alignment horizontal="center" vertical="center"/>
    </xf>
    <xf fontId="13" fillId="6" borderId="4" numFmtId="0" xfId="0" applyFont="1" applyFill="1" applyBorder="1" applyAlignment="1">
      <alignment horizontal="center" vertical="center" wrapText="1"/>
    </xf>
    <xf fontId="0" fillId="6" borderId="4" numFmtId="0" xfId="0" applyFill="1" applyBorder="1" applyAlignment="1">
      <alignment horizontal="center"/>
    </xf>
    <xf fontId="0" fillId="6" borderId="4" numFmtId="0" xfId="0" applyFill="1" applyBorder="1" applyAlignment="1">
      <alignment horizontal="center" vertical="center"/>
    </xf>
    <xf fontId="7" fillId="4" borderId="5" numFmtId="0" xfId="0" applyFont="1" applyFill="1" applyBorder="1" applyAlignment="1">
      <alignment horizontal="center" vertical="center"/>
    </xf>
    <xf fontId="12" fillId="7" borderId="4" numFmtId="0" xfId="0" applyFont="1" applyFill="1" applyBorder="1" applyAlignment="1">
      <alignment horizontal="center" vertical="center"/>
    </xf>
    <xf fontId="13" fillId="0" borderId="4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/>
    </xf>
    <xf fontId="0" fillId="7" borderId="4" numFmtId="0" xfId="0" applyFill="1" applyBorder="1" applyAlignment="1">
      <alignment horizontal="center" vertical="center"/>
    </xf>
    <xf fontId="14" fillId="0" borderId="0" numFmtId="0" xfId="0" applyFont="1" applyAlignment="1">
      <alignment horizontal="left" vertical="center"/>
    </xf>
    <xf fontId="15" fillId="0" borderId="4" numFmtId="0" xfId="0" applyFont="1" applyBorder="1" applyAlignment="1">
      <alignment horizontal="center" vertical="center" wrapText="1"/>
    </xf>
    <xf fontId="8" fillId="5" borderId="4" numFmtId="3" xfId="0" applyNumberFormat="1" applyFont="1" applyFill="1" applyBorder="1" applyAlignment="1">
      <alignment horizontal="center" vertical="center" wrapText="1"/>
    </xf>
    <xf fontId="8" fillId="5" borderId="4" numFmtId="4" xfId="0" applyNumberFormat="1" applyFont="1" applyFill="1" applyBorder="1" applyAlignment="1">
      <alignment horizontal="center" vertical="center" wrapText="1"/>
    </xf>
    <xf fontId="12" fillId="6" borderId="5" numFmtId="0" xfId="0" applyFont="1" applyFill="1" applyBorder="1" applyAlignment="1">
      <alignment horizontal="center" vertical="center"/>
    </xf>
    <xf fontId="0" fillId="6" borderId="4" numFmtId="0" xfId="0" applyFill="1" applyBorder="1"/>
    <xf fontId="0" fillId="0" borderId="4" numFmtId="0" xfId="0" applyBorder="1"/>
    <xf fontId="0" fillId="0" borderId="3" numFmtId="0" xfId="0" applyBorder="1" applyAlignment="1">
      <alignment horizontal="left" vertical="top"/>
    </xf>
    <xf fontId="0" fillId="0" borderId="0" numFmtId="0" xfId="0" applyAlignment="1">
      <alignment horizontal="left" vertical="top"/>
    </xf>
    <xf fontId="7" fillId="4" borderId="3" numFmtId="0" xfId="0" applyFont="1" applyFill="1" applyBorder="1" applyAlignment="1">
      <alignment horizontal="center" vertical="center"/>
    </xf>
    <xf fontId="0" fillId="4" borderId="5" numFmtId="0" xfId="0" applyFill="1" applyBorder="1" applyAlignment="1">
      <alignment horizontal="center" vertical="center"/>
    </xf>
    <xf fontId="0" fillId="4" borderId="4" numFmtId="0" xfId="0" applyFill="1" applyBorder="1" applyAlignment="1">
      <alignment horizontal="center"/>
    </xf>
    <xf fontId="8" fillId="0" borderId="6" numFmtId="0" xfId="0" applyFont="1" applyBorder="1" applyAlignment="1">
      <alignment horizontal="center" wrapText="1"/>
    </xf>
    <xf fontId="16" fillId="0" borderId="4" numFmtId="0" xfId="0" applyFont="1" applyBorder="1" applyAlignment="1">
      <alignment horizontal="center" vertical="center" wrapText="1"/>
    </xf>
    <xf fontId="17" fillId="4" borderId="4" numFmtId="0" xfId="0" applyFont="1" applyFill="1" applyBorder="1" applyAlignment="1">
      <alignment horizontal="center" vertical="center"/>
    </xf>
    <xf fontId="17" fillId="4" borderId="6" numFmtId="0" xfId="0" applyFont="1" applyFill="1" applyBorder="1" applyAlignment="1">
      <alignment horizontal="center" vertical="center"/>
    </xf>
    <xf fontId="12" fillId="6" borderId="0" numFmtId="0" xfId="0" applyFont="1" applyFill="1" applyAlignment="1">
      <alignment horizontal="center" vertical="center"/>
    </xf>
    <xf fontId="13" fillId="0" borderId="0" numFmtId="0" xfId="0" applyFont="1" applyAlignment="1">
      <alignment horizontal="center" vertical="center" wrapText="1"/>
    </xf>
    <xf fontId="0" fillId="6" borderId="0" numFmtId="0" xfId="0" applyFill="1" applyAlignment="1">
      <alignment horizontal="center" vertical="center"/>
    </xf>
    <xf fontId="18" fillId="2" borderId="4" numFmtId="0" xfId="0" applyFont="1" applyFill="1" applyBorder="1" applyAlignment="1">
      <alignment horizontal="center" vertical="center" wrapText="1"/>
    </xf>
    <xf fontId="18" fillId="2" borderId="6" numFmtId="0" xfId="0" applyFont="1" applyFill="1" applyBorder="1" applyAlignment="1">
      <alignment horizontal="center" vertical="center" wrapText="1"/>
    </xf>
    <xf fontId="18" fillId="5" borderId="7" numFmtId="0" xfId="0" applyFont="1" applyFill="1" applyBorder="1" applyAlignment="1">
      <alignment horizontal="left" vertical="center" wrapText="1"/>
    </xf>
    <xf fontId="19" fillId="5" borderId="6" numFmtId="0" xfId="0" applyFont="1" applyFill="1" applyBorder="1" applyAlignment="1">
      <alignment horizontal="center" vertical="center" wrapText="1"/>
    </xf>
    <xf fontId="20" fillId="5" borderId="6" numFmtId="0" xfId="0" applyFont="1" applyFill="1" applyBorder="1" applyAlignment="1">
      <alignment horizontal="center" vertical="center" wrapText="1"/>
    </xf>
    <xf fontId="21" fillId="2" borderId="4" numFmtId="0" xfId="0" applyFont="1" applyFill="1" applyBorder="1" applyAlignment="1">
      <alignment horizontal="center" vertical="center"/>
    </xf>
    <xf fontId="21" fillId="0" borderId="4" numFmtId="0" xfId="0" applyFont="1" applyBorder="1" applyAlignment="1">
      <alignment horizontal="center" vertical="center"/>
    </xf>
    <xf fontId="18" fillId="5" borderId="3" numFmtId="3" xfId="0" applyNumberFormat="1" applyFont="1" applyFill="1" applyBorder="1" applyAlignment="1">
      <alignment horizontal="left" vertical="top"/>
    </xf>
    <xf fontId="18" fillId="5" borderId="4" numFmtId="3" xfId="0" applyNumberFormat="1" applyFont="1" applyFill="1" applyBorder="1" applyAlignment="1">
      <alignment horizontal="left" vertical="top"/>
    </xf>
    <xf fontId="18" fillId="5" borderId="4" numFmtId="3" xfId="0" applyNumberFormat="1" applyFont="1" applyFill="1" applyBorder="1" applyAlignment="1">
      <alignment horizontal="center" vertical="center"/>
    </xf>
    <xf fontId="20" fillId="5" borderId="4" numFmtId="3" xfId="0" applyNumberFormat="1" applyFont="1" applyFill="1" applyBorder="1" applyAlignment="1">
      <alignment horizontal="center" vertical="center"/>
    </xf>
    <xf fontId="21" fillId="2" borderId="4" numFmtId="0" xfId="0" applyFont="1" applyFill="1" applyBorder="1" applyAlignment="1">
      <alignment horizontal="left" vertical="top"/>
    </xf>
    <xf fontId="4" fillId="0" borderId="0" numFmtId="3" xfId="0" applyNumberFormat="1" applyFont="1" applyAlignment="1">
      <alignment horizontal="center" vertical="center"/>
    </xf>
    <xf fontId="3" fillId="2" borderId="1" numFmtId="0" xfId="0" applyFont="1" applyFill="1" applyBorder="1" applyAlignment="1">
      <alignment horizontal="center" vertical="center" wrapText="1"/>
    </xf>
    <xf fontId="4" fillId="3" borderId="4" numFmtId="0" xfId="0" applyFont="1" applyFill="1" applyBorder="1" applyAlignment="1">
      <alignment horizontal="center" vertical="center" wrapText="1"/>
    </xf>
    <xf fontId="4" fillId="3" borderId="4" numFmtId="49" xfId="0" applyNumberFormat="1" applyFont="1" applyFill="1" applyBorder="1" applyAlignment="1">
      <alignment horizontal="center" vertical="center" wrapText="1"/>
    </xf>
    <xf fontId="4" fillId="8" borderId="4" numFmtId="0" xfId="0" applyFont="1" applyFill="1" applyBorder="1" applyAlignment="1">
      <alignment horizontal="center" vertical="center" wrapText="1"/>
    </xf>
    <xf fontId="14" fillId="0" borderId="4" numFmtId="0" xfId="0" applyFont="1" applyBorder="1" applyAlignment="1">
      <alignment horizontal="left" vertical="center"/>
    </xf>
    <xf fontId="8" fillId="0" borderId="4" numFmtId="0" xfId="0" applyFont="1" applyBorder="1" applyAlignment="1">
      <alignment horizontal="center" vertical="center" wrapText="1"/>
    </xf>
    <xf fontId="8" fillId="0" borderId="4" numFmtId="17" xfId="0" applyNumberFormat="1" applyFont="1" applyBorder="1" applyAlignment="1">
      <alignment horizontal="center" vertical="center" wrapText="1"/>
    </xf>
    <xf fontId="8" fillId="0" borderId="4" numFmtId="3" xfId="0" applyNumberFormat="1" applyFont="1" applyBorder="1" applyAlignment="1">
      <alignment horizontal="center" vertical="center" wrapText="1"/>
    </xf>
    <xf fontId="22" fillId="4" borderId="4" numFmtId="0" xfId="0" applyFont="1" applyFill="1" applyBorder="1" applyAlignment="1">
      <alignment horizontal="left" vertical="center"/>
    </xf>
    <xf fontId="8" fillId="5" borderId="4" numFmtId="164" xfId="1" applyNumberFormat="1" applyFont="1" applyFill="1" applyBorder="1" applyAlignment="1">
      <alignment horizontal="center" vertical="center" wrapText="1"/>
    </xf>
    <xf fontId="23" fillId="0" borderId="4" numFmtId="0" xfId="0" applyFont="1" applyBorder="1" applyAlignment="1">
      <alignment horizontal="center" wrapText="1"/>
    </xf>
    <xf fontId="19" fillId="2" borderId="7" numFmtId="0" xfId="0" applyFont="1" applyFill="1" applyBorder="1" applyAlignment="1">
      <alignment horizontal="center" vertical="center" wrapText="1"/>
    </xf>
    <xf fontId="18" fillId="5" borderId="7" numFmtId="3" xfId="0" applyNumberFormat="1" applyFont="1" applyFill="1" applyBorder="1" applyAlignment="1">
      <alignment horizontal="center" vertical="center" wrapText="1"/>
    </xf>
    <xf fontId="18" fillId="5" borderId="7" numFmtId="0" xfId="0" applyFont="1" applyFill="1" applyBorder="1" applyAlignment="1">
      <alignment horizontal="center" vertical="center" wrapText="1"/>
    </xf>
    <xf fontId="18" fillId="2" borderId="3" numFmtId="3" xfId="0" applyNumberFormat="1" applyFont="1" applyFill="1" applyBorder="1" applyAlignment="1">
      <alignment horizontal="left" vertical="top"/>
    </xf>
    <xf fontId="0" fillId="0" borderId="0" numFmtId="0" xfId="0" applyAlignment="1">
      <alignment horizontal="center"/>
    </xf>
    <xf fontId="21" fillId="0" borderId="0" numFmtId="0" xfId="0" applyFont="1"/>
    <xf fontId="21" fillId="3" borderId="8" numFmtId="0" xfId="0" applyFont="1" applyFill="1" applyBorder="1" applyAlignment="1">
      <alignment horizontal="center" vertical="center"/>
    </xf>
    <xf fontId="6" fillId="3" borderId="9" numFmtId="0" xfId="0" applyFont="1" applyFill="1" applyBorder="1" applyAlignment="1">
      <alignment horizontal="center" vertical="center"/>
    </xf>
    <xf fontId="0" fillId="3" borderId="9" numFmtId="0" xfId="0" applyFill="1" applyBorder="1" applyAlignment="1">
      <alignment horizontal="center"/>
    </xf>
    <xf fontId="0" fillId="3" borderId="9" numFmtId="0" xfId="0" applyFill="1" applyBorder="1" applyAlignment="1">
      <alignment horizontal="center" vertical="center"/>
    </xf>
    <xf fontId="0" fillId="3" borderId="10" numFmtId="0" xfId="0" applyFill="1" applyBorder="1"/>
    <xf fontId="0" fillId="0" borderId="11" numFmtId="0" xfId="0" applyBorder="1" applyAlignment="1">
      <alignment horizontal="center"/>
    </xf>
    <xf fontId="24" fillId="7" borderId="4" numFmtId="0" xfId="0" applyFont="1" applyFill="1" applyBorder="1" applyAlignment="1">
      <alignment horizontal="center" vertical="center"/>
    </xf>
    <xf fontId="13" fillId="7" borderId="4" numFmtId="0" xfId="0" applyFont="1" applyFill="1" applyBorder="1" applyAlignment="1">
      <alignment horizontal="center" vertical="center" wrapText="1"/>
    </xf>
    <xf fontId="0" fillId="0" borderId="12" numFmtId="0" xfId="0" applyBorder="1" applyAlignment="1">
      <alignment horizontal="center"/>
    </xf>
    <xf fontId="25" fillId="4" borderId="4" numFmtId="0" xfId="0" applyFont="1" applyFill="1" applyBorder="1" applyAlignment="1">
      <alignment horizontal="center" vertical="center"/>
    </xf>
    <xf fontId="0" fillId="9" borderId="4" numFmtId="0" xfId="0" applyFill="1" applyBorder="1" applyAlignment="1">
      <alignment horizontal="center" vertical="center"/>
    </xf>
    <xf fontId="0" fillId="9" borderId="11" numFmtId="0" xfId="0" applyFill="1" applyBorder="1" applyAlignment="1">
      <alignment horizontal="center"/>
    </xf>
    <xf fontId="24" fillId="6" borderId="4" numFmtId="0" xfId="0" applyFont="1" applyFill="1" applyBorder="1" applyAlignment="1">
      <alignment horizontal="center" vertical="center"/>
    </xf>
    <xf fontId="10" fillId="6" borderId="4" numFmtId="3" xfId="0" applyNumberFormat="1" applyFont="1" applyFill="1" applyBorder="1" applyAlignment="1">
      <alignment horizontal="center" vertical="center" wrapText="1"/>
    </xf>
    <xf fontId="10" fillId="6" borderId="4" numFmtId="166" xfId="0" applyNumberFormat="1" applyFont="1" applyFill="1" applyBorder="1" applyAlignment="1">
      <alignment horizontal="center" vertical="center" wrapText="1"/>
    </xf>
    <xf fontId="6" fillId="4" borderId="4" numFmtId="0" xfId="0" applyFont="1" applyFill="1" applyBorder="1" applyAlignment="1">
      <alignment horizontal="center" vertical="center"/>
    </xf>
    <xf fontId="0" fillId="7" borderId="4" numFmtId="0" xfId="0" applyFill="1" applyBorder="1" applyAlignment="1">
      <alignment horizontal="center"/>
    </xf>
    <xf fontId="0" fillId="6" borderId="5" numFmtId="0" xfId="0" applyFill="1" applyBorder="1" applyAlignment="1">
      <alignment horizontal="center"/>
    </xf>
    <xf fontId="6" fillId="4" borderId="5" numFmtId="0" xfId="0" applyFont="1" applyFill="1" applyBorder="1" applyAlignment="1">
      <alignment horizontal="center" vertical="center"/>
    </xf>
    <xf fontId="0" fillId="6" borderId="3" numFmtId="0" xfId="0" applyFill="1" applyBorder="1" applyAlignment="1">
      <alignment horizontal="center"/>
    </xf>
    <xf fontId="6" fillId="4" borderId="3" numFmtId="0" xfId="0" applyFont="1" applyFill="1" applyBorder="1" applyAlignment="1">
      <alignment horizontal="center" vertical="center"/>
    </xf>
    <xf fontId="0" fillId="7" borderId="5" numFmtId="0" xfId="0" applyFill="1" applyBorder="1" applyAlignment="1">
      <alignment horizontal="center"/>
    </xf>
    <xf fontId="13" fillId="7" borderId="5" numFmtId="0" xfId="0" applyFont="1" applyFill="1" applyBorder="1" applyAlignment="1">
      <alignment horizontal="center" vertical="center" wrapText="1"/>
    </xf>
    <xf fontId="0" fillId="7" borderId="5" numFmtId="0" xfId="0" applyFill="1" applyBorder="1" applyAlignment="1">
      <alignment horizontal="center" vertical="center"/>
    </xf>
    <xf fontId="0" fillId="0" borderId="0" numFmtId="1" xfId="0" applyNumberFormat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4" borderId="0" numFmtId="0" xfId="0" applyFill="1" applyAlignment="1">
      <alignment horizontal="center" vertical="center"/>
    </xf>
    <xf fontId="21" fillId="0" borderId="0" numFmtId="167" xfId="0" applyNumberFormat="1" applyFont="1"/>
    <xf fontId="0" fillId="0" borderId="0" numFmtId="168" xfId="2" applyNumberFormat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61</xdr:row>
      <xdr:rowOff>0</xdr:rowOff>
    </xdr:from>
    <xdr:ext cx="8455151" cy="0"/>
    <xdr:sp>
      <xdr:nvSpPr>
        <xdr:cNvPr id="6" name="Shape 5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7" name="Shape 6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8" name="Shape 7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9" name="Shape 8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0" name="Shape 9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1" name="Shape 10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2" name="Shape 11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3" name="Shape 12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4" name="Shape 13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5" name="Shape 14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6" name="Shape 15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7" name="Shape 16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8" name="Shape 17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19" name="Shape 18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0" name="Shape 19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1" name="Shape 20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2" name="Shape 21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3" name="Shape 22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4" name="Shape 23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5" name="Shape 24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6" name="Shape 25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7" name="Shape 26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8" name="Shape 27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29" name="Shape 28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61</xdr:row>
      <xdr:rowOff>0</xdr:rowOff>
    </xdr:from>
    <xdr:ext cx="8455151" cy="0"/>
    <xdr:sp>
      <xdr:nvSpPr>
        <xdr:cNvPr id="30" name="Shape 29"/>
        <xdr:cNvSpPr/>
      </xdr:nvSpPr>
      <xdr:spPr bwMode="auto">
        <a:xfrm>
          <a:off x="0" y="58917839"/>
          <a:ext cx="8455151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  <xdr:txBody>
        <a:bodyPr/>
        <a:lstStyle/>
        <a:p>
          <a:pPr>
            <a:defRPr/>
          </a:pPr>
          <a:endParaRPr lang="en-US"/>
        </a:p>
      </xdr:txBody>
    </xdr:sp>
    <xdr:clientData/>
  </xdr:oneCellAnchor>
  <xdr:twoCellAnchor editAs="twoCell">
    <xdr:from>
      <xdr:col>23</xdr:col>
      <xdr:colOff>447261</xdr:colOff>
      <xdr:row>1</xdr:row>
      <xdr:rowOff>164823</xdr:rowOff>
    </xdr:from>
    <xdr:to>
      <xdr:col>23</xdr:col>
      <xdr:colOff>646043</xdr:colOff>
      <xdr:row>1</xdr:row>
      <xdr:rowOff>223631</xdr:rowOff>
    </xdr:to>
    <xdr:sp>
      <xdr:nvSpPr>
        <xdr:cNvPr id="2" name="TextBox 1"/>
        <xdr:cNvSpPr txBox="1"/>
      </xdr:nvSpPr>
      <xdr:spPr bwMode="auto">
        <a:xfrm flipV="1">
          <a:off x="11173239" y="479564"/>
          <a:ext cx="198782" cy="5880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4000">
              <a:solidFill>
                <a:srgbClr val="FF0000"/>
              </a:solidFill>
            </a:rPr>
            <a:t>DO NOT EDIT FORMULA CELLS</a:t>
          </a:r>
          <a:r>
            <a:rPr lang="en-US" sz="4000">
              <a:solidFill>
                <a:srgbClr val="FF0000"/>
              </a:solidFill>
            </a:rPr>
            <a:t> WITH THIS COLOR</a:t>
          </a:r>
          <a:endParaRPr lang="en-US" sz="40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30764</xdr:colOff>
      <xdr:row>0</xdr:row>
      <xdr:rowOff>0</xdr:rowOff>
    </xdr:from>
    <xdr:to>
      <xdr:col>1</xdr:col>
      <xdr:colOff>2149455</xdr:colOff>
      <xdr:row>0</xdr:row>
      <xdr:rowOff>916214</xdr:rowOff>
    </xdr:to>
    <xdr:pic>
      <xdr:nvPicPr>
        <xdr:cNvPr id="3" name="صورة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0764" y="0"/>
          <a:ext cx="2427120" cy="916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64</xdr:row>
      <xdr:rowOff>0</xdr:rowOff>
    </xdr:from>
    <xdr:ext cx="8455152" cy="0"/>
    <xdr:sp>
      <xdr:nvSpPr>
        <xdr:cNvPr id="29" name="Shape 5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0" name="Shape 6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1" name="Shape 7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2" name="Shape 8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3" name="Shape 9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4" name="Shape 10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5" name="Shape 11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6" name="Shape 12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7" name="Shape 13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8" name="Shape 14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39" name="Shape 15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0" name="Shape 16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1" name="Shape 17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2" name="Shape 18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3" name="Shape 19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4" name="Shape 20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5" name="Shape 21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6" name="Shape 22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7" name="Shape 23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8" name="Shape 24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49" name="Shape 25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50" name="Shape 26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51" name="Shape 27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90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52" name="Shape 28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64</xdr:row>
      <xdr:rowOff>0</xdr:rowOff>
    </xdr:from>
    <xdr:ext cx="8455152" cy="0"/>
    <xdr:sp>
      <xdr:nvSpPr>
        <xdr:cNvPr id="53" name="Shape 29"/>
        <xdr:cNvSpPr/>
      </xdr:nvSpPr>
      <xdr:spPr bwMode="auto">
        <a:xfrm>
          <a:off x="0" y="41148000"/>
          <a:ext cx="8455152" cy="0"/>
        </a:xfrm>
        <a:custGeom>
          <a:avLst/>
          <a:gdLst/>
          <a:ahLst/>
          <a:cxnLst/>
          <a:rect l="0" t="0" r="0" b="0"/>
          <a:pathLst>
            <a:path w="8455152" fill="norm" stroke="1" extrusionOk="0">
              <a:moveTo>
                <a:pt x="0" y="0"/>
              </a:moveTo>
              <a:lnTo>
                <a:pt x="8455152" y="0"/>
              </a:lnTo>
            </a:path>
          </a:pathLst>
        </a:custGeom>
        <a:ln w="8889">
          <a:solidFill>
            <a:srgbClr val="000000"/>
          </a:solidFill>
          <a:prstDash val="solid"/>
        </a:ln>
      </xdr:spPr>
    </xdr:sp>
    <xdr:clientData/>
  </xdr:oneCellAnchor>
  <xdr:twoCellAnchor editAs="oneCell">
    <xdr:from>
      <xdr:col>0</xdr:col>
      <xdr:colOff>57979</xdr:colOff>
      <xdr:row>0</xdr:row>
      <xdr:rowOff>124239</xdr:rowOff>
    </xdr:from>
    <xdr:to>
      <xdr:col>1</xdr:col>
      <xdr:colOff>1864249</xdr:colOff>
      <xdr:row>0</xdr:row>
      <xdr:rowOff>1028700</xdr:rowOff>
    </xdr:to>
    <xdr:pic>
      <xdr:nvPicPr>
        <xdr:cNvPr id="54" name="صورة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57979" y="124239"/>
          <a:ext cx="2415871" cy="904461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70" workbookViewId="0">
      <pane xSplit="14" ySplit="2" topLeftCell="O3" activePane="bottomRight" state="frozen"/>
      <selection activeCell="P56" activeCellId="0" sqref="P56"/>
    </sheetView>
  </sheetViews>
  <sheetFormatPr defaultRowHeight="14.25"/>
  <cols>
    <col customWidth="1" min="1" max="1" style="1" width="4.36328125"/>
    <col customWidth="1" min="2" max="2" style="2" width="55.36328125"/>
    <col customWidth="1" hidden="1" min="3" max="4" width="10.6328125"/>
    <col customWidth="1" hidden="1" min="5" max="5" width="13.54296875"/>
    <col customWidth="1" hidden="1" min="6" max="10" width="10.6328125"/>
    <col customWidth="1" min="11" max="12" width="13.90625"/>
    <col customWidth="1" min="13" max="15" width="8"/>
    <col customWidth="1" min="16" max="16" width="8.6328125"/>
    <col customWidth="1" min="17" max="17" width="11.90625"/>
    <col customWidth="1" min="18" max="18" width="10"/>
    <col customWidth="1" min="19" max="19" width="14.6328125"/>
    <col customWidth="1" min="20" max="20" width="16.6328125"/>
    <col customWidth="1" min="21" max="21" width="24.90625"/>
    <col customWidth="1" min="22" max="22" width="16.6328125"/>
    <col customWidth="1" min="23" max="23" width="24.6328125"/>
    <col customWidth="1" hidden="1" min="24" max="24" width="11.08984375"/>
    <col customWidth="1" hidden="1" min="25" max="25" width="0"/>
  </cols>
  <sheetData>
    <row r="1" ht="73.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="6" customFormat="1" ht="66.5" customHeight="1">
      <c r="A2" s="7"/>
      <c r="B2" s="8"/>
      <c r="C2" s="9"/>
      <c r="D2" s="9"/>
      <c r="E2" s="10"/>
      <c r="F2" s="9"/>
      <c r="G2" s="11"/>
      <c r="H2" s="9"/>
      <c r="I2" s="10"/>
      <c r="J2" s="10"/>
      <c r="K2" s="9"/>
      <c r="L2" s="9"/>
      <c r="M2" s="10"/>
      <c r="N2" s="10"/>
      <c r="O2" s="10"/>
      <c r="P2" s="10"/>
      <c r="Q2" s="10"/>
      <c r="R2" s="9"/>
      <c r="S2" s="9"/>
      <c r="T2" s="9"/>
      <c r="U2" s="12"/>
      <c r="V2" s="12"/>
    </row>
    <row r="3" ht="90" customHeight="1">
      <c r="A3"/>
      <c r="B3"/>
    </row>
    <row r="4" ht="90" customHeight="1">
      <c r="A4"/>
      <c r="B4"/>
    </row>
    <row r="5" ht="90" customHeight="1">
      <c r="A5"/>
      <c r="B5"/>
    </row>
    <row r="6" ht="90" customHeight="1">
      <c r="A6"/>
      <c r="B6"/>
    </row>
    <row r="7" ht="90" customHeight="1">
      <c r="A7"/>
      <c r="B7"/>
    </row>
    <row r="8" ht="90" customHeight="1">
      <c r="A8"/>
      <c r="B8"/>
    </row>
    <row r="9" ht="90" customHeight="1">
      <c r="A9"/>
      <c r="B9"/>
    </row>
    <row r="10" ht="90" customHeight="1">
      <c r="A10"/>
      <c r="B10"/>
    </row>
    <row r="11" s="6" customFormat="1" ht="90" customHeight="1">
      <c r="A11" s="7"/>
      <c r="B11" s="13"/>
      <c r="C11" s="14"/>
      <c r="D11" s="14"/>
      <c r="E11" s="14"/>
      <c r="F11" s="14"/>
      <c r="G11" s="14"/>
      <c r="H11" s="14"/>
      <c r="I11" s="14"/>
      <c r="J11" s="14"/>
      <c r="K11" s="15"/>
      <c r="L11" s="16"/>
      <c r="M11" s="17"/>
      <c r="N11" s="18"/>
      <c r="O11" s="19"/>
      <c r="P11" s="19"/>
      <c r="Q11" s="17"/>
      <c r="R11" s="17"/>
      <c r="S11" s="20"/>
      <c r="T11" s="21"/>
      <c r="U11" s="21"/>
      <c r="V11" s="21"/>
      <c r="W11" s="22"/>
      <c r="X11" s="23"/>
      <c r="Y11" s="24"/>
      <c r="Z11" s="25"/>
      <c r="AA11" s="25"/>
    </row>
    <row r="12" s="6" customFormat="1" ht="90" customHeight="1">
      <c r="A12" s="7"/>
      <c r="B12" s="13"/>
      <c r="C12" s="14"/>
      <c r="D12" s="14"/>
      <c r="E12" s="14"/>
      <c r="F12" s="14"/>
      <c r="G12" s="14"/>
      <c r="H12" s="14"/>
      <c r="I12" s="14"/>
      <c r="J12" s="14"/>
      <c r="K12" s="15"/>
      <c r="L12" s="16"/>
      <c r="M12" s="17"/>
      <c r="N12" s="18"/>
      <c r="O12" s="19"/>
      <c r="P12" s="19"/>
      <c r="Q12" s="17"/>
      <c r="R12" s="17"/>
      <c r="S12" s="20"/>
      <c r="T12" s="21"/>
      <c r="U12" s="21"/>
      <c r="V12" s="21"/>
      <c r="W12" s="22"/>
      <c r="X12" s="23"/>
      <c r="Y12" s="24"/>
      <c r="Z12" s="25"/>
      <c r="AA12" s="25"/>
    </row>
    <row r="13" s="6" customFormat="1" ht="90" customHeight="1">
      <c r="A13" s="7"/>
      <c r="B13" s="13"/>
      <c r="C13" s="14"/>
      <c r="D13" s="14"/>
      <c r="E13" s="14"/>
      <c r="F13" s="14"/>
      <c r="G13" s="14"/>
      <c r="H13" s="14"/>
      <c r="I13" s="14"/>
      <c r="J13" s="14"/>
      <c r="K13" s="15"/>
      <c r="L13" s="16"/>
      <c r="M13" s="17"/>
      <c r="N13" s="18"/>
      <c r="O13" s="19"/>
      <c r="P13" s="19"/>
      <c r="Q13" s="17"/>
      <c r="R13" s="17"/>
      <c r="S13" s="20"/>
      <c r="T13" s="21"/>
      <c r="U13" s="21"/>
      <c r="V13" s="21"/>
      <c r="W13" s="22"/>
      <c r="X13" s="23"/>
      <c r="Y13" s="24"/>
      <c r="Z13" s="25"/>
      <c r="AA13" s="25"/>
    </row>
    <row r="14" s="6" customFormat="1" ht="90" customHeight="1">
      <c r="A14" s="7"/>
      <c r="B14" s="13"/>
      <c r="C14" s="14"/>
      <c r="D14" s="14"/>
      <c r="E14" s="14"/>
      <c r="F14" s="14"/>
      <c r="G14" s="14"/>
      <c r="H14" s="14"/>
      <c r="I14" s="14"/>
      <c r="J14" s="14"/>
      <c r="K14" s="15"/>
      <c r="L14" s="16"/>
      <c r="M14" s="17"/>
      <c r="N14" s="18"/>
      <c r="O14" s="19"/>
      <c r="P14" s="19"/>
      <c r="Q14" s="17"/>
      <c r="R14" s="17"/>
      <c r="S14" s="20"/>
      <c r="T14" s="21"/>
      <c r="U14" s="21"/>
      <c r="V14" s="21"/>
      <c r="W14" s="22"/>
      <c r="X14" s="23"/>
      <c r="Y14" s="24"/>
      <c r="Z14" s="25"/>
      <c r="AA14" s="25"/>
    </row>
    <row r="15" s="6" customFormat="1" ht="90" customHeight="1">
      <c r="A15" s="7"/>
      <c r="B15" s="13"/>
      <c r="C15" s="14"/>
      <c r="D15" s="14"/>
      <c r="E15" s="14"/>
      <c r="F15" s="14"/>
      <c r="G15" s="14"/>
      <c r="H15" s="14"/>
      <c r="I15" s="14"/>
      <c r="J15" s="14"/>
      <c r="K15" s="15"/>
      <c r="L15" s="16"/>
      <c r="M15" s="17"/>
      <c r="N15" s="18"/>
      <c r="O15" s="19"/>
      <c r="P15" s="19"/>
      <c r="Q15" s="17"/>
      <c r="R15" s="17"/>
      <c r="S15" s="20"/>
      <c r="T15" s="21"/>
      <c r="U15" s="21"/>
      <c r="V15" s="21"/>
      <c r="W15" s="22"/>
      <c r="X15" s="23"/>
      <c r="Y15" s="24"/>
      <c r="Z15" s="25"/>
      <c r="AA15" s="25"/>
    </row>
    <row r="16" s="6" customFormat="1" ht="90" customHeight="1">
      <c r="A16" s="7"/>
      <c r="B16" s="13"/>
      <c r="C16" s="14"/>
      <c r="D16" s="14"/>
      <c r="E16" s="14"/>
      <c r="F16" s="14"/>
      <c r="G16" s="14"/>
      <c r="H16" s="14"/>
      <c r="I16" s="14"/>
      <c r="J16" s="14"/>
      <c r="K16" s="15"/>
      <c r="L16" s="16"/>
      <c r="M16" s="17"/>
      <c r="N16" s="18"/>
      <c r="O16" s="19"/>
      <c r="P16" s="19"/>
      <c r="Q16" s="17"/>
      <c r="R16" s="17"/>
      <c r="S16" s="20"/>
      <c r="T16" s="21"/>
      <c r="U16" s="21"/>
      <c r="V16" s="21"/>
      <c r="W16" s="22"/>
      <c r="X16" s="23"/>
      <c r="Y16" s="24"/>
      <c r="Z16" s="25"/>
      <c r="AA16" s="25"/>
    </row>
    <row r="17" s="6" customFormat="1" ht="90" customHeight="1">
      <c r="A17" s="7"/>
      <c r="B17" s="26"/>
      <c r="C17" s="14"/>
      <c r="D17" s="14"/>
      <c r="E17" s="14"/>
      <c r="F17" s="14"/>
      <c r="G17" s="14"/>
      <c r="H17" s="14"/>
      <c r="I17" s="14"/>
      <c r="J17" s="14"/>
      <c r="K17" s="15"/>
      <c r="L17" s="16"/>
      <c r="M17" s="17"/>
      <c r="N17" s="18"/>
      <c r="O17" s="19"/>
      <c r="P17" s="19"/>
      <c r="Q17" s="17"/>
      <c r="R17" s="17"/>
      <c r="S17" s="20"/>
      <c r="T17" s="21"/>
      <c r="U17" s="21"/>
      <c r="V17" s="21"/>
      <c r="W17" s="22"/>
      <c r="X17" s="23"/>
      <c r="Y17" s="24"/>
      <c r="Z17" s="25"/>
      <c r="AA17" s="25"/>
    </row>
    <row r="18" s="6" customFormat="1" ht="90" customHeight="1">
      <c r="A18" s="7"/>
      <c r="B18" s="13"/>
      <c r="C18" s="14"/>
      <c r="D18" s="14"/>
      <c r="E18" s="14"/>
      <c r="F18" s="14"/>
      <c r="G18" s="14"/>
      <c r="H18" s="14"/>
      <c r="I18" s="14"/>
      <c r="J18" s="14"/>
      <c r="K18" s="15"/>
      <c r="L18" s="16"/>
      <c r="M18" s="17"/>
      <c r="N18" s="18"/>
      <c r="O18" s="19"/>
      <c r="P18" s="19"/>
      <c r="Q18" s="17"/>
      <c r="R18" s="17"/>
      <c r="S18" s="20"/>
      <c r="T18" s="21"/>
      <c r="U18" s="21"/>
      <c r="V18" s="21"/>
      <c r="W18" s="27"/>
      <c r="X18" s="28"/>
      <c r="Y18" s="29"/>
      <c r="Z18" s="30"/>
      <c r="AA18" s="30"/>
    </row>
    <row r="19" s="6" customFormat="1" ht="90" customHeight="1">
      <c r="A19" s="7"/>
      <c r="B19" s="13"/>
      <c r="C19" s="14"/>
      <c r="D19" s="14"/>
      <c r="E19" s="14"/>
      <c r="F19" s="14"/>
      <c r="G19" s="14"/>
      <c r="H19" s="14"/>
      <c r="I19" s="14"/>
      <c r="J19" s="14"/>
      <c r="K19" s="15"/>
      <c r="L19" s="16"/>
      <c r="M19" s="17"/>
      <c r="N19" s="18"/>
      <c r="O19" s="19"/>
      <c r="P19" s="19"/>
      <c r="Q19" s="17"/>
      <c r="R19" s="17"/>
      <c r="S19" s="20"/>
      <c r="T19" s="21"/>
      <c r="U19" s="21"/>
      <c r="V19" s="21"/>
      <c r="W19" s="27"/>
      <c r="X19" s="28"/>
      <c r="Y19" s="29"/>
      <c r="Z19" s="30"/>
      <c r="AA19" s="30"/>
    </row>
    <row r="20" s="31" customFormat="1" ht="90" customHeight="1">
      <c r="A20" s="7"/>
      <c r="B20" s="13"/>
      <c r="C20" s="14"/>
      <c r="D20" s="14"/>
      <c r="E20" s="14"/>
      <c r="F20" s="14"/>
      <c r="G20" s="14"/>
      <c r="H20" s="14"/>
      <c r="I20" s="14"/>
      <c r="J20" s="14"/>
      <c r="K20" s="32"/>
      <c r="L20" s="16"/>
      <c r="M20" s="33"/>
      <c r="N20" s="34"/>
      <c r="O20" s="19"/>
      <c r="P20" s="19"/>
      <c r="Q20" s="33"/>
      <c r="R20" s="33"/>
      <c r="S20" s="20"/>
      <c r="T20" s="21"/>
      <c r="U20" s="21"/>
      <c r="V20" s="21"/>
      <c r="W20" s="35"/>
      <c r="X20" s="23"/>
      <c r="Y20" s="36"/>
      <c r="Z20" s="25"/>
      <c r="AA20" s="25"/>
    </row>
    <row r="21" s="31" customFormat="1" ht="90" customHeight="1">
      <c r="A21" s="7"/>
      <c r="B21" s="13"/>
      <c r="C21" s="14"/>
      <c r="D21" s="14"/>
      <c r="E21" s="14"/>
      <c r="F21" s="14"/>
      <c r="G21" s="14"/>
      <c r="H21" s="14"/>
      <c r="I21" s="14"/>
      <c r="J21" s="14"/>
      <c r="K21" s="32"/>
      <c r="L21" s="16"/>
      <c r="M21" s="33"/>
      <c r="N21" s="34"/>
      <c r="O21" s="19"/>
      <c r="P21" s="19"/>
      <c r="Q21" s="33"/>
      <c r="R21" s="33"/>
      <c r="S21" s="20"/>
      <c r="T21" s="21"/>
      <c r="U21" s="21"/>
      <c r="V21" s="21"/>
      <c r="W21" s="22"/>
      <c r="X21" s="23"/>
      <c r="Y21" s="36"/>
      <c r="Z21" s="25"/>
      <c r="AA21" s="25"/>
    </row>
    <row r="22" s="31" customFormat="1" ht="90" customHeight="1">
      <c r="A22" s="7"/>
      <c r="B22" s="13"/>
      <c r="C22" s="14"/>
      <c r="D22" s="14"/>
      <c r="E22" s="14"/>
      <c r="F22" s="14"/>
      <c r="G22" s="14"/>
      <c r="H22" s="14"/>
      <c r="I22" s="14"/>
      <c r="J22" s="14"/>
      <c r="K22" s="32"/>
      <c r="L22" s="16"/>
      <c r="M22" s="33"/>
      <c r="N22" s="34"/>
      <c r="O22" s="19"/>
      <c r="P22" s="19"/>
      <c r="Q22" s="33"/>
      <c r="R22" s="33"/>
      <c r="S22" s="20"/>
      <c r="T22" s="21"/>
      <c r="U22" s="21"/>
      <c r="V22" s="21"/>
      <c r="W22" s="22"/>
      <c r="X22" s="23"/>
      <c r="Y22" s="36"/>
      <c r="Z22" s="25"/>
      <c r="AA22" s="25"/>
    </row>
    <row r="23" s="31" customFormat="1" ht="90" customHeight="1">
      <c r="A23" s="7"/>
      <c r="B23" s="13"/>
      <c r="C23" s="14"/>
      <c r="D23" s="14"/>
      <c r="E23" s="14"/>
      <c r="F23" s="14"/>
      <c r="G23" s="14"/>
      <c r="H23" s="14"/>
      <c r="I23" s="14"/>
      <c r="J23" s="14"/>
      <c r="K23" s="32"/>
      <c r="L23" s="16"/>
      <c r="M23" s="33"/>
      <c r="N23" s="34"/>
      <c r="O23" s="19"/>
      <c r="P23" s="19"/>
      <c r="Q23" s="33"/>
      <c r="R23" s="33"/>
      <c r="S23" s="20"/>
      <c r="T23" s="21"/>
      <c r="U23" s="21"/>
      <c r="V23" s="21"/>
      <c r="W23" s="22"/>
      <c r="X23" s="23"/>
      <c r="Y23" s="36"/>
      <c r="Z23" s="25"/>
      <c r="AA23" s="25"/>
    </row>
    <row r="24" s="31" customFormat="1" ht="90" customHeight="1">
      <c r="A24" s="7"/>
      <c r="B24" s="13"/>
      <c r="C24" s="14"/>
      <c r="D24" s="14"/>
      <c r="E24" s="14"/>
      <c r="F24" s="14"/>
      <c r="G24" s="14"/>
      <c r="H24" s="14"/>
      <c r="I24" s="14"/>
      <c r="J24" s="14"/>
      <c r="K24" s="32"/>
      <c r="L24" s="16"/>
      <c r="M24" s="33"/>
      <c r="N24" s="34"/>
      <c r="O24" s="19"/>
      <c r="P24" s="19"/>
      <c r="Q24" s="33"/>
      <c r="R24" s="33"/>
      <c r="S24" s="20"/>
      <c r="T24" s="21"/>
      <c r="U24" s="21"/>
      <c r="V24" s="21"/>
      <c r="W24" s="22"/>
      <c r="X24" s="23"/>
      <c r="Y24" s="36"/>
      <c r="Z24" s="25"/>
      <c r="AA24" s="25"/>
    </row>
    <row r="25" s="31" customFormat="1" ht="90" customHeight="1">
      <c r="A25" s="7"/>
      <c r="B25" s="13"/>
      <c r="C25" s="14"/>
      <c r="D25" s="14"/>
      <c r="E25" s="14"/>
      <c r="F25" s="14"/>
      <c r="G25" s="14"/>
      <c r="H25" s="14"/>
      <c r="I25" s="14"/>
      <c r="J25" s="14"/>
      <c r="K25" s="32"/>
      <c r="L25" s="16"/>
      <c r="M25" s="33"/>
      <c r="N25" s="34"/>
      <c r="O25" s="19"/>
      <c r="P25" s="19"/>
      <c r="Q25" s="33"/>
      <c r="R25" s="33"/>
      <c r="S25" s="20"/>
      <c r="T25" s="21"/>
      <c r="U25" s="21"/>
      <c r="V25" s="21"/>
      <c r="W25" s="27"/>
      <c r="X25" s="28"/>
      <c r="Y25" s="37"/>
      <c r="Z25" s="30"/>
      <c r="AA25" s="30"/>
    </row>
    <row r="26" ht="90" customHeight="1">
      <c r="A26" s="7"/>
      <c r="B26" s="13"/>
      <c r="C26" s="14"/>
      <c r="D26" s="14"/>
      <c r="E26" s="14"/>
      <c r="F26" s="14"/>
      <c r="G26" s="14"/>
      <c r="H26" s="14"/>
      <c r="I26" s="14"/>
      <c r="J26" s="14"/>
      <c r="K26" s="32"/>
      <c r="L26" s="16"/>
      <c r="M26" s="33"/>
      <c r="N26" s="34"/>
      <c r="O26" s="19"/>
      <c r="P26" s="19"/>
      <c r="Q26" s="33"/>
      <c r="R26" s="33"/>
      <c r="S26" s="20"/>
      <c r="T26" s="21"/>
      <c r="U26" s="21"/>
      <c r="V26" s="21"/>
      <c r="W26" s="27"/>
      <c r="X26" s="28"/>
      <c r="Y26" s="37"/>
      <c r="Z26" s="30"/>
      <c r="AA26" s="30"/>
    </row>
    <row r="27" ht="90" customHeight="1">
      <c r="A27" s="7"/>
      <c r="B27" s="13"/>
      <c r="C27" s="14"/>
      <c r="D27" s="14"/>
      <c r="E27" s="14"/>
      <c r="F27" s="14"/>
      <c r="G27" s="14"/>
      <c r="H27" s="14"/>
      <c r="I27" s="14"/>
      <c r="J27" s="14"/>
      <c r="K27" s="32"/>
      <c r="L27" s="16"/>
      <c r="M27" s="33"/>
      <c r="N27" s="34"/>
      <c r="O27" s="19"/>
      <c r="P27" s="19"/>
      <c r="Q27" s="33"/>
      <c r="R27" s="33"/>
      <c r="S27" s="20"/>
      <c r="T27" s="21"/>
      <c r="U27" s="21"/>
      <c r="V27" s="21"/>
      <c r="W27" s="27"/>
      <c r="X27" s="28"/>
      <c r="Y27" s="37"/>
      <c r="Z27" s="30"/>
      <c r="AA27" s="30"/>
    </row>
    <row r="28" ht="90" customHeight="1">
      <c r="A28" s="7"/>
      <c r="B28" s="13"/>
      <c r="C28" s="14"/>
      <c r="D28" s="14"/>
      <c r="E28" s="14"/>
      <c r="F28" s="14"/>
      <c r="G28" s="14"/>
      <c r="H28" s="14"/>
      <c r="I28" s="14"/>
      <c r="J28" s="14"/>
      <c r="K28" s="32"/>
      <c r="L28" s="16"/>
      <c r="M28" s="33"/>
      <c r="N28" s="34"/>
      <c r="O28" s="19"/>
      <c r="P28" s="19"/>
      <c r="Q28" s="33"/>
      <c r="R28" s="33"/>
      <c r="S28" s="20"/>
      <c r="T28" s="21"/>
      <c r="U28" s="38"/>
      <c r="V28" s="21"/>
      <c r="W28" s="22"/>
      <c r="X28" s="23"/>
      <c r="Y28" s="37"/>
      <c r="Z28" s="25"/>
      <c r="AA28" s="25"/>
    </row>
    <row r="29" ht="90" customHeight="1">
      <c r="A29" s="7"/>
      <c r="B29" s="13"/>
      <c r="C29" s="14"/>
      <c r="D29" s="14"/>
      <c r="E29" s="14"/>
      <c r="F29" s="14"/>
      <c r="G29" s="14"/>
      <c r="H29" s="14"/>
      <c r="I29" s="14"/>
      <c r="J29" s="14"/>
      <c r="K29" s="32"/>
      <c r="L29" s="16"/>
      <c r="M29" s="33"/>
      <c r="N29" s="34"/>
      <c r="O29" s="19"/>
      <c r="P29" s="19"/>
      <c r="Q29" s="33"/>
      <c r="R29" s="33"/>
      <c r="S29" s="20"/>
      <c r="T29" s="21"/>
      <c r="U29" s="39"/>
      <c r="V29" s="39"/>
      <c r="W29" s="22"/>
      <c r="X29" s="23"/>
      <c r="Y29" s="36"/>
      <c r="Z29" s="25"/>
      <c r="AA29" s="25"/>
    </row>
    <row r="30" ht="90" customHeight="1">
      <c r="A30" s="7"/>
      <c r="B30" s="13"/>
      <c r="C30" s="14"/>
      <c r="D30" s="14"/>
      <c r="E30" s="14"/>
      <c r="F30" s="14"/>
      <c r="G30" s="14"/>
      <c r="H30" s="14"/>
      <c r="I30" s="14"/>
      <c r="J30" s="14"/>
      <c r="K30" s="32"/>
      <c r="L30" s="16"/>
      <c r="M30" s="33"/>
      <c r="N30" s="34"/>
      <c r="O30" s="19"/>
      <c r="P30" s="19"/>
      <c r="Q30" s="33"/>
      <c r="R30" s="33"/>
      <c r="S30" s="20"/>
      <c r="T30" s="21"/>
      <c r="U30" s="39"/>
      <c r="V30" s="39"/>
      <c r="W30" s="22"/>
      <c r="X30" s="23"/>
      <c r="Y30" s="36"/>
      <c r="Z30" s="25"/>
      <c r="AA30" s="25"/>
    </row>
    <row r="31" ht="90" customHeight="1">
      <c r="A31" s="7"/>
      <c r="B31" s="13"/>
      <c r="C31" s="14"/>
      <c r="D31" s="14"/>
      <c r="E31" s="14"/>
      <c r="F31" s="14"/>
      <c r="G31" s="14"/>
      <c r="H31" s="14"/>
      <c r="I31" s="14"/>
      <c r="J31" s="14"/>
      <c r="K31" s="32"/>
      <c r="L31" s="16"/>
      <c r="M31" s="33"/>
      <c r="N31" s="34"/>
      <c r="O31" s="19"/>
      <c r="P31" s="19"/>
      <c r="Q31" s="33"/>
      <c r="R31" s="33"/>
      <c r="S31" s="20"/>
      <c r="T31" s="21"/>
      <c r="U31" s="39"/>
      <c r="V31" s="39"/>
      <c r="W31" s="22"/>
      <c r="X31" s="23"/>
      <c r="Y31" s="36"/>
      <c r="Z31" s="25"/>
      <c r="AA31" s="25"/>
    </row>
    <row r="32" ht="90" customHeight="1">
      <c r="A32" s="7"/>
      <c r="B32" s="13"/>
      <c r="C32" s="14"/>
      <c r="D32" s="14"/>
      <c r="E32" s="14"/>
      <c r="F32" s="14"/>
      <c r="G32" s="14"/>
      <c r="H32" s="14"/>
      <c r="I32" s="14"/>
      <c r="J32" s="14"/>
      <c r="K32" s="32"/>
      <c r="L32" s="16"/>
      <c r="M32" s="33"/>
      <c r="N32" s="34"/>
      <c r="O32" s="19"/>
      <c r="P32" s="19"/>
      <c r="Q32" s="33"/>
      <c r="R32" s="33"/>
      <c r="S32" s="20"/>
      <c r="T32" s="21"/>
      <c r="U32" s="39"/>
      <c r="V32" s="39"/>
      <c r="W32" s="27"/>
      <c r="X32" s="28"/>
      <c r="Y32" s="37"/>
      <c r="Z32" s="30"/>
      <c r="AA32" s="30"/>
    </row>
    <row r="33" ht="90" customHeight="1">
      <c r="A33" s="7"/>
      <c r="B33" s="13"/>
      <c r="C33" s="14"/>
      <c r="D33" s="14"/>
      <c r="E33" s="14"/>
      <c r="F33" s="14"/>
      <c r="G33" s="14"/>
      <c r="H33" s="14"/>
      <c r="I33" s="14"/>
      <c r="J33" s="14"/>
      <c r="K33" s="32"/>
      <c r="L33" s="16"/>
      <c r="M33" s="33"/>
      <c r="N33" s="34"/>
      <c r="O33" s="19"/>
      <c r="P33" s="19"/>
      <c r="Q33" s="33"/>
      <c r="R33" s="33"/>
      <c r="S33" s="20"/>
      <c r="T33" s="21"/>
      <c r="U33" s="39"/>
      <c r="V33" s="39"/>
      <c r="W33" s="27"/>
      <c r="X33" s="28"/>
      <c r="Y33" s="37"/>
      <c r="Z33" s="30"/>
      <c r="AA33" s="30"/>
    </row>
    <row r="34" ht="90" customHeight="1">
      <c r="A34" s="7"/>
      <c r="B34" s="13"/>
      <c r="C34" s="14"/>
      <c r="D34" s="14"/>
      <c r="E34" s="14"/>
      <c r="F34" s="14"/>
      <c r="G34" s="14"/>
      <c r="H34" s="14"/>
      <c r="I34" s="14"/>
      <c r="J34" s="14"/>
      <c r="K34" s="32"/>
      <c r="L34" s="16"/>
      <c r="M34" s="33"/>
      <c r="N34" s="34"/>
      <c r="O34" s="19"/>
      <c r="P34" s="19"/>
      <c r="Q34" s="33"/>
      <c r="R34" s="33"/>
      <c r="S34" s="20"/>
      <c r="T34" s="21"/>
      <c r="U34" s="39"/>
      <c r="V34" s="39"/>
      <c r="W34" s="22"/>
      <c r="X34" s="23"/>
      <c r="Y34" s="36"/>
      <c r="Z34" s="25"/>
      <c r="AA34" s="25"/>
    </row>
    <row r="35" ht="90" customHeight="1">
      <c r="A35" s="7"/>
      <c r="B35" s="13"/>
      <c r="C35" s="14"/>
      <c r="D35" s="14"/>
      <c r="E35" s="14"/>
      <c r="F35" s="14"/>
      <c r="G35" s="14"/>
      <c r="H35" s="14"/>
      <c r="I35" s="14"/>
      <c r="J35" s="14"/>
      <c r="K35" s="32"/>
      <c r="L35" s="16"/>
      <c r="M35" s="33"/>
      <c r="N35" s="34"/>
      <c r="O35" s="19"/>
      <c r="P35" s="19"/>
      <c r="Q35" s="33"/>
      <c r="R35" s="33"/>
      <c r="S35" s="20"/>
      <c r="T35" s="21"/>
      <c r="U35" s="39"/>
      <c r="V35" s="39"/>
      <c r="W35" s="27"/>
      <c r="X35" s="28"/>
      <c r="Y35" s="37"/>
      <c r="Z35" s="30"/>
      <c r="AA35" s="30"/>
    </row>
    <row r="36" ht="90" customHeight="1">
      <c r="A36" s="7"/>
      <c r="B36" s="13"/>
      <c r="C36" s="14"/>
      <c r="D36" s="14"/>
      <c r="E36" s="14"/>
      <c r="F36" s="14"/>
      <c r="G36" s="14"/>
      <c r="H36" s="14"/>
      <c r="I36" s="14"/>
      <c r="J36" s="14"/>
      <c r="K36" s="32"/>
      <c r="L36" s="16"/>
      <c r="M36" s="33"/>
      <c r="N36" s="34"/>
      <c r="O36" s="19"/>
      <c r="P36" s="19"/>
      <c r="Q36" s="33"/>
      <c r="R36" s="33"/>
      <c r="S36" s="20"/>
      <c r="T36" s="21"/>
      <c r="U36" s="39"/>
      <c r="V36" s="39"/>
      <c r="W36" s="27"/>
      <c r="X36" s="28"/>
      <c r="Y36" s="37"/>
      <c r="Z36" s="30"/>
      <c r="AA36" s="30"/>
    </row>
    <row r="37" ht="90" customHeight="1">
      <c r="A37" s="7"/>
      <c r="B37" s="13"/>
      <c r="C37" s="14"/>
      <c r="D37" s="14"/>
      <c r="E37" s="14"/>
      <c r="F37" s="14"/>
      <c r="G37" s="14"/>
      <c r="H37" s="14"/>
      <c r="I37" s="14"/>
      <c r="J37" s="14"/>
      <c r="K37" s="32"/>
      <c r="L37" s="16"/>
      <c r="M37" s="33"/>
      <c r="N37" s="34"/>
      <c r="O37" s="19"/>
      <c r="P37" s="19"/>
      <c r="Q37" s="33"/>
      <c r="R37" s="33"/>
      <c r="S37" s="20"/>
      <c r="T37" s="21"/>
      <c r="U37" s="39"/>
      <c r="V37" s="39"/>
      <c r="W37" s="22"/>
      <c r="X37" s="23"/>
      <c r="Y37" s="36"/>
      <c r="Z37" s="25"/>
      <c r="AA37" s="25"/>
    </row>
    <row r="38" ht="90" customHeight="1">
      <c r="A38" s="7"/>
      <c r="B38" s="13"/>
      <c r="C38" s="14"/>
      <c r="D38" s="14"/>
      <c r="E38" s="14"/>
      <c r="F38" s="14"/>
      <c r="G38" s="14"/>
      <c r="H38" s="14"/>
      <c r="I38" s="14"/>
      <c r="J38" s="14"/>
      <c r="K38" s="32"/>
      <c r="L38" s="16"/>
      <c r="M38" s="33"/>
      <c r="N38" s="34"/>
      <c r="O38" s="19"/>
      <c r="P38" s="19"/>
      <c r="Q38" s="33"/>
      <c r="R38" s="33"/>
      <c r="S38" s="20"/>
      <c r="T38" s="21"/>
      <c r="U38" s="39"/>
      <c r="V38" s="39"/>
      <c r="W38" s="22"/>
      <c r="X38" s="23"/>
      <c r="Y38" s="36"/>
      <c r="Z38" s="25"/>
      <c r="AA38" s="25"/>
    </row>
    <row r="39" ht="90" customHeight="1">
      <c r="A39" s="7"/>
      <c r="B39" s="40"/>
      <c r="C39" s="14"/>
      <c r="D39" s="14"/>
      <c r="E39" s="14"/>
      <c r="F39" s="14"/>
      <c r="G39" s="14"/>
      <c r="H39" s="14"/>
      <c r="I39" s="14"/>
      <c r="J39" s="14"/>
      <c r="K39" s="32"/>
      <c r="L39" s="16"/>
      <c r="M39" s="33"/>
      <c r="N39" s="34"/>
      <c r="O39" s="19"/>
      <c r="P39" s="19"/>
      <c r="Q39" s="33"/>
      <c r="R39" s="33"/>
      <c r="S39" s="20"/>
      <c r="T39" s="21"/>
      <c r="U39" s="39"/>
      <c r="V39" s="39"/>
      <c r="W39" s="22"/>
      <c r="X39" s="23"/>
      <c r="Y39" s="36"/>
      <c r="Z39" s="25"/>
      <c r="AA39" s="25"/>
    </row>
    <row r="40" ht="90" customHeight="1">
      <c r="A40" s="7"/>
      <c r="B40" s="40"/>
      <c r="C40" s="14"/>
      <c r="D40" s="14"/>
      <c r="E40" s="14"/>
      <c r="F40" s="14"/>
      <c r="G40" s="14"/>
      <c r="H40" s="14"/>
      <c r="I40" s="14"/>
      <c r="J40" s="14"/>
      <c r="K40" s="32"/>
      <c r="L40" s="16"/>
      <c r="M40" s="33"/>
      <c r="N40" s="34"/>
      <c r="O40" s="19"/>
      <c r="P40" s="19"/>
      <c r="Q40" s="33"/>
      <c r="R40" s="33"/>
      <c r="S40" s="20"/>
      <c r="T40" s="21"/>
      <c r="U40" s="39"/>
      <c r="V40" s="39"/>
      <c r="W40" s="22"/>
      <c r="X40" s="23"/>
      <c r="Y40" s="36"/>
      <c r="Z40" s="25"/>
      <c r="AA40" s="25"/>
    </row>
    <row r="41" ht="90" customHeight="1">
      <c r="A41" s="7"/>
      <c r="B41" s="26"/>
      <c r="C41" s="14"/>
      <c r="D41" s="14"/>
      <c r="E41" s="14"/>
      <c r="F41" s="14"/>
      <c r="G41" s="14"/>
      <c r="H41" s="14"/>
      <c r="I41" s="14"/>
      <c r="J41" s="14"/>
      <c r="K41" s="32"/>
      <c r="L41" s="16"/>
      <c r="M41" s="33"/>
      <c r="N41" s="34"/>
      <c r="O41" s="41"/>
      <c r="P41" s="41"/>
      <c r="Q41" s="33"/>
      <c r="R41" s="33"/>
      <c r="S41" s="20"/>
      <c r="T41" s="21"/>
      <c r="U41" s="39"/>
      <c r="V41" s="39"/>
      <c r="W41" s="22"/>
      <c r="X41" s="23"/>
      <c r="Y41" s="36"/>
      <c r="Z41" s="25"/>
      <c r="AA41" s="25"/>
    </row>
    <row r="42" ht="90" customHeight="1">
      <c r="A42" s="7"/>
      <c r="B42" s="13"/>
      <c r="C42" s="14"/>
      <c r="D42" s="14"/>
      <c r="E42" s="14"/>
      <c r="F42" s="14"/>
      <c r="G42" s="14"/>
      <c r="H42" s="14"/>
      <c r="I42" s="14"/>
      <c r="J42" s="14"/>
      <c r="K42" s="32"/>
      <c r="L42" s="16"/>
      <c r="M42" s="33"/>
      <c r="N42" s="34"/>
      <c r="O42" s="42"/>
      <c r="P42" s="42"/>
      <c r="Q42" s="33"/>
      <c r="R42" s="33"/>
      <c r="S42" s="20"/>
      <c r="T42" s="21"/>
      <c r="U42" s="39"/>
      <c r="V42" s="39"/>
      <c r="W42" s="22"/>
      <c r="X42" s="23"/>
      <c r="Y42" s="36"/>
      <c r="Z42" s="25"/>
      <c r="AA42" s="25"/>
    </row>
    <row r="43" ht="90" customHeight="1">
      <c r="A43" s="7"/>
      <c r="B43" s="40"/>
      <c r="C43" s="14"/>
      <c r="D43" s="14"/>
      <c r="E43" s="14"/>
      <c r="F43" s="14"/>
      <c r="G43" s="14"/>
      <c r="H43" s="14"/>
      <c r="I43" s="14"/>
      <c r="J43" s="14"/>
      <c r="K43" s="32"/>
      <c r="L43" s="16"/>
      <c r="M43" s="33"/>
      <c r="N43" s="34"/>
      <c r="O43" s="19"/>
      <c r="P43" s="19"/>
      <c r="Q43" s="33"/>
      <c r="R43" s="33"/>
      <c r="S43" s="20"/>
      <c r="T43" s="21"/>
      <c r="U43" s="39"/>
      <c r="V43" s="39"/>
      <c r="W43" s="27"/>
      <c r="X43" s="28"/>
      <c r="Y43" s="37"/>
      <c r="Z43" s="30"/>
      <c r="AA43" s="30"/>
    </row>
    <row r="44" ht="90" customHeight="1">
      <c r="A44" s="7"/>
      <c r="B44" s="13"/>
      <c r="C44" s="14"/>
      <c r="D44" s="14"/>
      <c r="E44" s="14"/>
      <c r="F44" s="14"/>
      <c r="G44" s="14"/>
      <c r="H44" s="14"/>
      <c r="I44" s="14"/>
      <c r="J44" s="14"/>
      <c r="K44" s="32"/>
      <c r="L44" s="16"/>
      <c r="M44" s="33"/>
      <c r="N44" s="34"/>
      <c r="O44" s="19"/>
      <c r="P44" s="19"/>
      <c r="Q44" s="33"/>
      <c r="R44" s="33"/>
      <c r="S44" s="20"/>
      <c r="T44" s="21"/>
      <c r="U44" s="39"/>
      <c r="V44" s="39"/>
      <c r="W44" s="27"/>
      <c r="X44" s="28"/>
      <c r="Y44" s="37"/>
      <c r="Z44" s="30"/>
      <c r="AA44" s="30"/>
    </row>
    <row r="45" ht="90" customHeight="1">
      <c r="A45" s="7"/>
      <c r="B45" s="13"/>
      <c r="C45" s="43"/>
      <c r="D45" s="43"/>
      <c r="E45" s="43"/>
      <c r="F45" s="43"/>
      <c r="G45" s="43"/>
      <c r="H45" s="43"/>
      <c r="I45" s="43"/>
      <c r="J45" s="43"/>
      <c r="K45" s="32"/>
      <c r="L45" s="16"/>
      <c r="M45" s="33"/>
      <c r="N45" s="34"/>
      <c r="O45" s="19"/>
      <c r="P45" s="19"/>
      <c r="Q45" s="33"/>
      <c r="R45" s="33"/>
      <c r="S45" s="20"/>
      <c r="T45" s="21"/>
      <c r="U45" s="39"/>
      <c r="V45" s="39"/>
      <c r="W45" s="22"/>
      <c r="X45" s="28"/>
      <c r="Y45" s="37"/>
      <c r="Z45" s="25"/>
      <c r="AA45" s="25"/>
    </row>
    <row r="46" ht="90" customHeight="1">
      <c r="A46" s="7"/>
      <c r="B46" s="13"/>
      <c r="C46" s="43"/>
      <c r="D46" s="43"/>
      <c r="E46" s="43"/>
      <c r="F46" s="43"/>
      <c r="G46" s="43"/>
      <c r="H46" s="43"/>
      <c r="I46" s="43"/>
      <c r="J46" s="43"/>
      <c r="K46" s="32"/>
      <c r="L46" s="16"/>
      <c r="M46" s="33"/>
      <c r="N46" s="34"/>
      <c r="O46" s="19"/>
      <c r="P46" s="19"/>
      <c r="Q46" s="33"/>
      <c r="R46" s="33"/>
      <c r="S46" s="20"/>
      <c r="T46" s="21"/>
      <c r="U46" s="39"/>
      <c r="V46" s="39"/>
      <c r="W46" s="22"/>
      <c r="X46" s="28"/>
      <c r="Y46" s="37"/>
      <c r="Z46" s="25"/>
      <c r="AA46" s="25"/>
    </row>
    <row r="47" ht="90" customHeight="1">
      <c r="A47" s="7"/>
      <c r="B47" s="13"/>
      <c r="C47" s="43"/>
      <c r="D47" s="43"/>
      <c r="E47" s="43"/>
      <c r="F47" s="43"/>
      <c r="G47" s="43"/>
      <c r="H47" s="43"/>
      <c r="I47" s="43"/>
      <c r="J47" s="43"/>
      <c r="K47" s="44"/>
      <c r="L47" s="16"/>
      <c r="M47" s="33"/>
      <c r="N47" s="34"/>
      <c r="O47" s="19"/>
      <c r="P47" s="19"/>
      <c r="Q47" s="33"/>
      <c r="R47" s="33"/>
      <c r="S47" s="20"/>
      <c r="T47" s="21"/>
      <c r="U47" s="39"/>
      <c r="V47" s="39"/>
      <c r="W47" s="22"/>
      <c r="X47" s="28"/>
      <c r="Y47" s="37"/>
      <c r="Z47" s="25"/>
      <c r="AA47" s="25"/>
    </row>
    <row r="48" ht="90" customHeight="1">
      <c r="A48" s="7"/>
      <c r="B48" s="13"/>
      <c r="C48" s="43"/>
      <c r="D48" s="43"/>
      <c r="E48" s="43"/>
      <c r="F48" s="43"/>
      <c r="G48" s="43"/>
      <c r="H48" s="43"/>
      <c r="I48" s="43"/>
      <c r="J48" s="43"/>
      <c r="K48" s="32"/>
      <c r="L48" s="16"/>
      <c r="M48" s="33"/>
      <c r="N48" s="34"/>
      <c r="O48" s="19"/>
      <c r="P48" s="19"/>
      <c r="Q48" s="33"/>
      <c r="R48" s="33"/>
      <c r="S48" s="20"/>
      <c r="T48" s="21"/>
      <c r="U48" s="39"/>
      <c r="V48" s="39"/>
      <c r="W48" s="22"/>
      <c r="X48" s="28"/>
      <c r="Y48" s="37"/>
      <c r="Z48" s="25"/>
      <c r="AA48" s="25"/>
    </row>
    <row r="49" ht="90" customHeight="1">
      <c r="A49" s="7"/>
      <c r="B49" s="13"/>
      <c r="C49" s="43"/>
      <c r="D49" s="43"/>
      <c r="E49" s="43"/>
      <c r="F49" s="43"/>
      <c r="G49" s="43"/>
      <c r="H49" s="43"/>
      <c r="I49" s="43"/>
      <c r="J49" s="43"/>
      <c r="K49" s="32"/>
      <c r="L49" s="16"/>
      <c r="M49" s="33"/>
      <c r="N49" s="34"/>
      <c r="O49" s="19"/>
      <c r="P49" s="19"/>
      <c r="Q49" s="33"/>
      <c r="R49" s="33"/>
      <c r="S49" s="20"/>
      <c r="T49" s="21"/>
      <c r="U49" s="39"/>
      <c r="V49" s="39"/>
      <c r="W49" s="22"/>
      <c r="X49" s="28"/>
      <c r="Y49" s="37"/>
      <c r="Z49" s="25"/>
      <c r="AA49" s="25"/>
    </row>
    <row r="50" ht="90" customHeight="1">
      <c r="A50" s="7"/>
      <c r="B50" s="13"/>
      <c r="C50" s="43"/>
      <c r="D50" s="43"/>
      <c r="E50" s="43"/>
      <c r="F50" s="43"/>
      <c r="G50" s="43"/>
      <c r="H50" s="43"/>
      <c r="I50" s="43"/>
      <c r="J50" s="43"/>
      <c r="K50" s="32"/>
      <c r="L50" s="16"/>
      <c r="M50" s="33"/>
      <c r="N50" s="34"/>
      <c r="O50" s="19"/>
      <c r="P50" s="19"/>
      <c r="Q50" s="33"/>
      <c r="R50" s="33"/>
      <c r="S50" s="20"/>
      <c r="T50" s="21"/>
      <c r="U50" s="39"/>
      <c r="V50" s="39"/>
      <c r="W50" s="22"/>
      <c r="X50" s="28"/>
      <c r="Y50" s="37"/>
      <c r="Z50" s="25"/>
      <c r="AA50" s="25"/>
    </row>
    <row r="51" ht="90" customHeight="1">
      <c r="A51" s="7"/>
      <c r="B51" s="13"/>
      <c r="C51" s="43"/>
      <c r="D51" s="43"/>
      <c r="E51" s="43"/>
      <c r="F51" s="43"/>
      <c r="G51" s="43"/>
      <c r="H51" s="43"/>
      <c r="I51" s="43"/>
      <c r="J51" s="43"/>
      <c r="K51" s="32"/>
      <c r="L51" s="16"/>
      <c r="M51" s="33"/>
      <c r="N51" s="34"/>
      <c r="O51" s="19"/>
      <c r="P51" s="19"/>
      <c r="Q51" s="33"/>
      <c r="R51" s="33"/>
      <c r="S51" s="20"/>
      <c r="T51" s="21"/>
      <c r="U51" s="39"/>
      <c r="V51" s="39"/>
      <c r="W51" s="22"/>
      <c r="X51" s="28"/>
      <c r="Y51" s="37"/>
      <c r="Z51" s="25"/>
      <c r="AA51" s="25"/>
    </row>
    <row r="52" ht="90" customHeight="1">
      <c r="A52" s="7"/>
      <c r="B52" s="13"/>
      <c r="C52" s="43"/>
      <c r="D52" s="43"/>
      <c r="E52" s="43"/>
      <c r="F52" s="43"/>
      <c r="G52" s="43"/>
      <c r="H52" s="43"/>
      <c r="I52" s="43"/>
      <c r="J52" s="43"/>
      <c r="K52" s="32"/>
      <c r="L52" s="16"/>
      <c r="M52" s="33"/>
      <c r="N52" s="34"/>
      <c r="O52" s="19"/>
      <c r="P52" s="19"/>
      <c r="Q52" s="33"/>
      <c r="R52" s="33"/>
      <c r="S52" s="20"/>
      <c r="T52" s="21"/>
      <c r="U52" s="39"/>
      <c r="V52" s="39"/>
      <c r="W52" s="22"/>
      <c r="X52" s="28"/>
      <c r="Y52" s="37"/>
      <c r="Z52" s="25"/>
      <c r="AA52" s="25"/>
    </row>
    <row r="53" ht="90" hidden="1" customHeight="1">
      <c r="A53" s="7"/>
      <c r="B53" s="45"/>
      <c r="C53" s="43"/>
      <c r="D53" s="43"/>
      <c r="E53" s="43"/>
      <c r="F53" s="43"/>
      <c r="G53" s="43"/>
      <c r="H53" s="43"/>
      <c r="I53" s="43"/>
      <c r="J53" s="43"/>
      <c r="K53" s="32"/>
      <c r="L53" s="16"/>
      <c r="M53" s="33"/>
      <c r="N53" s="34"/>
      <c r="O53" s="42"/>
      <c r="P53" s="42"/>
      <c r="Q53" s="33"/>
      <c r="R53" s="33"/>
      <c r="S53" s="20"/>
      <c r="T53" s="21"/>
      <c r="U53" s="39"/>
      <c r="V53" s="39"/>
      <c r="W53" s="22"/>
      <c r="X53" s="28"/>
      <c r="Y53" s="37"/>
      <c r="Z53" s="25"/>
      <c r="AA53" s="25"/>
    </row>
    <row r="54" ht="90" hidden="1" customHeight="1">
      <c r="A54" s="7"/>
      <c r="B54" s="45"/>
      <c r="C54" s="43"/>
      <c r="D54" s="43"/>
      <c r="E54" s="43"/>
      <c r="F54" s="43"/>
      <c r="G54" s="43"/>
      <c r="H54" s="43"/>
      <c r="I54" s="43"/>
      <c r="J54" s="43"/>
      <c r="K54" s="32"/>
      <c r="L54" s="16"/>
      <c r="M54" s="33"/>
      <c r="N54" s="34"/>
      <c r="O54" s="42"/>
      <c r="P54" s="42"/>
      <c r="Q54" s="33"/>
      <c r="R54" s="33"/>
      <c r="S54" s="20"/>
      <c r="T54" s="21"/>
      <c r="U54" s="39"/>
      <c r="V54" s="39"/>
      <c r="W54" s="22"/>
      <c r="X54" s="28"/>
      <c r="Y54" s="37"/>
      <c r="Z54" s="25"/>
      <c r="AA54" s="25"/>
    </row>
    <row r="55" ht="90" hidden="1" customHeight="1">
      <c r="A55" s="7"/>
      <c r="B55" s="45"/>
      <c r="C55" s="43"/>
      <c r="D55" s="43"/>
      <c r="E55" s="43"/>
      <c r="F55" s="43"/>
      <c r="G55" s="43"/>
      <c r="H55" s="43"/>
      <c r="I55" s="43"/>
      <c r="J55" s="43"/>
      <c r="K55" s="32"/>
      <c r="L55" s="16"/>
      <c r="M55" s="33"/>
      <c r="N55" s="34"/>
      <c r="O55" s="42"/>
      <c r="P55" s="42"/>
      <c r="Q55" s="33"/>
      <c r="R55" s="33"/>
      <c r="S55" s="20"/>
      <c r="T55" s="21"/>
      <c r="U55" s="39"/>
      <c r="V55" s="39"/>
      <c r="W55" s="22"/>
      <c r="X55" s="28"/>
      <c r="Y55" s="37"/>
      <c r="Z55" s="25"/>
      <c r="AA55" s="25"/>
    </row>
    <row r="56" ht="90" hidden="1" customHeight="1">
      <c r="A56" s="7"/>
      <c r="B56" s="46"/>
      <c r="C56" s="43"/>
      <c r="D56" s="43"/>
      <c r="E56" s="43"/>
      <c r="F56" s="43"/>
      <c r="G56" s="43"/>
      <c r="H56" s="43"/>
      <c r="I56" s="43"/>
      <c r="J56" s="43"/>
      <c r="K56" s="32"/>
      <c r="L56" s="16"/>
      <c r="M56" s="33"/>
      <c r="N56" s="34"/>
      <c r="O56" s="42"/>
      <c r="P56" s="42"/>
      <c r="Q56" s="33"/>
      <c r="R56" s="33"/>
      <c r="S56" s="20"/>
      <c r="T56" s="39"/>
      <c r="U56" s="39"/>
      <c r="V56" s="39"/>
      <c r="W56" s="47"/>
      <c r="X56" s="48"/>
      <c r="Z56" s="49"/>
      <c r="AA56" s="49"/>
    </row>
    <row r="57" ht="90" hidden="1" customHeight="1">
      <c r="A57" s="7"/>
      <c r="B57" s="46"/>
      <c r="C57" s="43"/>
      <c r="D57" s="43"/>
      <c r="E57" s="43"/>
      <c r="F57" s="43"/>
      <c r="G57" s="43"/>
      <c r="H57" s="43"/>
      <c r="I57" s="43"/>
      <c r="J57" s="43"/>
      <c r="K57" s="32"/>
      <c r="L57" s="16"/>
      <c r="M57" s="33"/>
      <c r="N57" s="34"/>
      <c r="O57" s="42"/>
      <c r="P57" s="42"/>
      <c r="Q57" s="33"/>
      <c r="R57" s="33"/>
      <c r="S57" s="20"/>
      <c r="T57" s="39"/>
      <c r="U57" s="39"/>
      <c r="V57" s="39"/>
      <c r="W57" s="47"/>
      <c r="X57" s="48"/>
      <c r="Z57" s="49"/>
      <c r="AA57" s="49"/>
    </row>
    <row r="58" ht="90" hidden="1" customHeight="1">
      <c r="A58" s="7"/>
      <c r="B58" s="46"/>
      <c r="C58" s="43"/>
      <c r="D58" s="43"/>
      <c r="E58" s="43"/>
      <c r="F58" s="43"/>
      <c r="G58" s="43"/>
      <c r="H58" s="43"/>
      <c r="I58" s="43"/>
      <c r="J58" s="43"/>
      <c r="K58" s="32"/>
      <c r="L58" s="16"/>
      <c r="M58" s="33"/>
      <c r="N58" s="34"/>
      <c r="O58" s="42"/>
      <c r="P58" s="42"/>
      <c r="Q58" s="33"/>
      <c r="R58" s="33"/>
      <c r="S58" s="20"/>
      <c r="T58" s="39"/>
      <c r="U58" s="39"/>
      <c r="V58" s="39"/>
      <c r="W58" s="47"/>
      <c r="X58" s="48"/>
      <c r="Z58" s="49"/>
      <c r="AA58" s="49"/>
    </row>
    <row r="59" ht="90" hidden="1" customHeight="1">
      <c r="A59" s="7"/>
      <c r="B59" s="46"/>
      <c r="C59" s="43"/>
      <c r="D59" s="43"/>
      <c r="E59" s="43"/>
      <c r="F59" s="43"/>
      <c r="G59" s="43"/>
      <c r="H59" s="43"/>
      <c r="I59" s="43"/>
      <c r="J59" s="43"/>
      <c r="K59" s="32"/>
      <c r="L59" s="16"/>
      <c r="M59" s="33"/>
      <c r="N59" s="34"/>
      <c r="O59" s="42"/>
      <c r="P59" s="42"/>
      <c r="Q59" s="33"/>
      <c r="R59" s="33"/>
      <c r="S59" s="20"/>
      <c r="T59" s="39"/>
      <c r="U59" s="39"/>
      <c r="V59" s="39"/>
      <c r="W59" s="47"/>
      <c r="X59" s="48"/>
      <c r="Z59" s="49"/>
      <c r="AA59" s="49"/>
    </row>
    <row r="60" ht="90" hidden="1" customHeight="1">
      <c r="A60" s="7"/>
      <c r="B60" s="46"/>
      <c r="C60" s="43"/>
      <c r="D60" s="43"/>
      <c r="E60" s="43"/>
      <c r="F60" s="43"/>
      <c r="G60" s="43"/>
      <c r="H60" s="43"/>
      <c r="I60" s="43"/>
      <c r="J60" s="43"/>
      <c r="K60" s="32"/>
      <c r="L60" s="16"/>
      <c r="M60" s="33"/>
      <c r="N60" s="34"/>
      <c r="O60" s="42"/>
      <c r="P60" s="42"/>
      <c r="Q60" s="33"/>
      <c r="R60" s="33"/>
      <c r="S60" s="20"/>
      <c r="T60" s="39"/>
      <c r="U60" s="39"/>
      <c r="V60" s="39"/>
      <c r="W60" s="47"/>
      <c r="X60" s="48"/>
      <c r="Z60" s="49"/>
      <c r="AA60" s="49"/>
    </row>
    <row r="61" ht="90" hidden="1" customHeight="1">
      <c r="A61" s="7"/>
      <c r="B61" s="46"/>
      <c r="C61" s="43"/>
      <c r="D61" s="43"/>
      <c r="E61" s="43"/>
      <c r="F61" s="43"/>
      <c r="G61" s="43"/>
      <c r="H61" s="43"/>
      <c r="I61" s="43"/>
      <c r="J61" s="43"/>
      <c r="K61" s="32"/>
      <c r="L61" s="16"/>
      <c r="M61" s="33"/>
      <c r="N61" s="34"/>
      <c r="O61" s="42"/>
      <c r="P61" s="42"/>
      <c r="Q61" s="33"/>
      <c r="R61" s="33"/>
      <c r="S61" s="20"/>
      <c r="T61" s="39"/>
      <c r="U61" s="39"/>
      <c r="V61" s="39"/>
      <c r="W61" s="47"/>
      <c r="X61" s="48"/>
      <c r="Z61" s="49"/>
      <c r="AA61" s="49"/>
    </row>
    <row r="62" ht="90" customHeight="1">
      <c r="A62" s="50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2"/>
      <c r="N62" s="52"/>
      <c r="O62" s="52"/>
      <c r="P62" s="53"/>
      <c r="Q62" s="53"/>
      <c r="R62" s="53"/>
      <c r="S62" s="54"/>
      <c r="T62" s="51"/>
      <c r="U62" s="51"/>
      <c r="V62" s="51"/>
    </row>
    <row r="63" ht="90" customHeight="1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7"/>
      <c r="N63" s="57"/>
      <c r="O63" s="57"/>
      <c r="P63" s="58"/>
      <c r="Q63" s="59"/>
      <c r="R63" s="59"/>
      <c r="S63" s="60"/>
      <c r="T63" s="61"/>
      <c r="U63" s="61"/>
      <c r="V63" s="61"/>
    </row>
    <row r="64">
      <c r="S64" s="62"/>
    </row>
    <row r="65">
      <c r="S65" s="62"/>
    </row>
  </sheetData>
  <sortState ref="A26:T28">
    <sortCondition ref="A26:A28"/>
  </sortState>
  <mergeCells count="2">
    <mergeCell ref="A1:V1"/>
    <mergeCell ref="A62:L63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landscape" usePrinterDefaults="1" blackAndWhite="0" draft="0" cellComments="none" useFirstPageNumber="0" errors="displayed" horizontalDpi="600" verticalDpi="600" copies="1"/>
  <headerFooter/>
  <colBreaks count="1" manualBreakCount="1">
    <brk id="22" man="1" max="1048575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B32" activeCellId="0" sqref="B32"/>
    </sheetView>
  </sheetViews>
  <sheetFormatPr defaultRowHeight="14.5"/>
  <cols>
    <col bestFit="1" customWidth="1" min="2" max="2" width="72.453125"/>
    <col customWidth="1" hidden="1" min="3" max="10" width="0"/>
    <col customWidth="1" hidden="1" min="13" max="13" width="0"/>
    <col customWidth="1" min="24" max="24" width="16.1796875"/>
    <col customWidth="1" hidden="1" min="25" max="26" width="0"/>
  </cols>
  <sheetData>
    <row r="1" ht="90" customHeight="1">
      <c r="A1" s="6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31.5">
      <c r="A2" s="12" t="s">
        <v>1</v>
      </c>
      <c r="B2" s="12" t="s">
        <v>2</v>
      </c>
      <c r="C2" s="12" t="s">
        <v>3</v>
      </c>
      <c r="D2" s="12" t="s">
        <v>4</v>
      </c>
      <c r="E2" s="64" t="s">
        <v>5</v>
      </c>
      <c r="F2" s="12" t="s">
        <v>6</v>
      </c>
      <c r="G2" s="65" t="s">
        <v>7</v>
      </c>
      <c r="H2" s="12" t="s">
        <v>8</v>
      </c>
      <c r="I2" s="64" t="s">
        <v>9</v>
      </c>
      <c r="J2" s="64" t="s">
        <v>10</v>
      </c>
      <c r="K2" s="12" t="s">
        <v>11</v>
      </c>
      <c r="L2" s="12" t="s">
        <v>12</v>
      </c>
      <c r="M2" s="64" t="s">
        <v>13</v>
      </c>
      <c r="N2" s="64" t="s">
        <v>14</v>
      </c>
      <c r="O2" s="64" t="s">
        <v>15</v>
      </c>
      <c r="P2" s="66" t="s">
        <v>16</v>
      </c>
      <c r="Q2" s="64" t="s">
        <v>17</v>
      </c>
      <c r="R2" s="64" t="s">
        <v>18</v>
      </c>
      <c r="S2" s="64" t="s">
        <v>19</v>
      </c>
      <c r="T2" s="64" t="s">
        <v>20</v>
      </c>
      <c r="U2" s="66" t="s">
        <v>21</v>
      </c>
      <c r="V2" s="12" t="s">
        <v>22</v>
      </c>
      <c r="W2" s="12" t="s">
        <v>23</v>
      </c>
      <c r="X2" s="12" t="s">
        <v>24</v>
      </c>
      <c r="Y2" s="12" t="s">
        <v>25</v>
      </c>
      <c r="Z2" s="12" t="s">
        <v>26</v>
      </c>
    </row>
    <row r="3" ht="90" customHeight="1">
      <c r="A3" s="12">
        <v>1</v>
      </c>
      <c r="B3" s="67" t="s">
        <v>27</v>
      </c>
      <c r="C3" s="14"/>
      <c r="D3" s="14" t="s">
        <v>28</v>
      </c>
      <c r="E3" s="14"/>
      <c r="F3" s="14"/>
      <c r="G3" s="14"/>
      <c r="H3" s="14"/>
      <c r="I3" s="14"/>
      <c r="J3" s="14"/>
      <c r="K3" s="68" t="s">
        <v>29</v>
      </c>
      <c r="L3" s="69">
        <v>39934</v>
      </c>
      <c r="M3" s="70"/>
      <c r="N3" s="33">
        <f t="shared" ref="N3:N64" si="0">100000/8</f>
        <v>12500</v>
      </c>
      <c r="O3" s="34">
        <v>25000</v>
      </c>
      <c r="P3" s="33">
        <v>6</v>
      </c>
      <c r="Q3" s="33"/>
      <c r="R3" s="33">
        <f t="shared" ref="R3:R39" si="1">P3*8</f>
        <v>48</v>
      </c>
      <c r="S3" s="33">
        <v>12</v>
      </c>
      <c r="T3" s="33"/>
      <c r="U3" s="33">
        <f t="shared" ref="U3:U39" si="2">R3*N3</f>
        <v>600000</v>
      </c>
      <c r="V3" s="33">
        <f t="shared" ref="V3:V39" si="3">(S3)*O3</f>
        <v>300000</v>
      </c>
      <c r="W3" s="33">
        <f t="shared" ref="W3:W64" si="4">V3+U3</f>
        <v>900000</v>
      </c>
      <c r="X3" s="21"/>
      <c r="Y3" s="21"/>
      <c r="Z3" s="21"/>
    </row>
    <row r="4" ht="90" customHeight="1">
      <c r="A4" s="12">
        <v>2</v>
      </c>
      <c r="B4" s="67" t="s">
        <v>30</v>
      </c>
      <c r="C4" s="14"/>
      <c r="D4" s="14" t="s">
        <v>28</v>
      </c>
      <c r="E4" s="14"/>
      <c r="F4" s="14"/>
      <c r="G4" s="14"/>
      <c r="H4" s="14"/>
      <c r="I4" s="14"/>
      <c r="J4" s="14"/>
      <c r="K4" s="68" t="s">
        <v>29</v>
      </c>
      <c r="L4" s="69">
        <v>39934</v>
      </c>
      <c r="M4" s="70"/>
      <c r="N4" s="33">
        <f t="shared" si="0"/>
        <v>12500</v>
      </c>
      <c r="O4" s="34">
        <v>25000</v>
      </c>
      <c r="P4" s="33">
        <v>6</v>
      </c>
      <c r="Q4" s="33"/>
      <c r="R4" s="33">
        <f t="shared" si="1"/>
        <v>48</v>
      </c>
      <c r="S4" s="33">
        <v>12</v>
      </c>
      <c r="T4" s="33"/>
      <c r="U4" s="33">
        <f t="shared" si="2"/>
        <v>600000</v>
      </c>
      <c r="V4" s="33">
        <f t="shared" si="3"/>
        <v>300000</v>
      </c>
      <c r="W4" s="33">
        <f t="shared" si="4"/>
        <v>900000</v>
      </c>
      <c r="X4" s="21"/>
      <c r="Y4" s="21"/>
      <c r="Z4" s="21"/>
    </row>
    <row r="5" ht="90" customHeight="1">
      <c r="A5" s="12">
        <v>3</v>
      </c>
      <c r="B5" s="67" t="s">
        <v>31</v>
      </c>
      <c r="C5" s="14"/>
      <c r="D5" s="14" t="s">
        <v>28</v>
      </c>
      <c r="E5" s="14"/>
      <c r="F5" s="14"/>
      <c r="G5" s="14"/>
      <c r="H5" s="14"/>
      <c r="I5" s="14"/>
      <c r="J5" s="14"/>
      <c r="K5" s="68" t="s">
        <v>29</v>
      </c>
      <c r="L5" s="69">
        <v>39934</v>
      </c>
      <c r="M5" s="70"/>
      <c r="N5" s="33">
        <f t="shared" si="0"/>
        <v>12500</v>
      </c>
      <c r="O5" s="34">
        <v>25000</v>
      </c>
      <c r="P5" s="33">
        <v>2</v>
      </c>
      <c r="Q5" s="33"/>
      <c r="R5" s="33">
        <f t="shared" si="1"/>
        <v>16</v>
      </c>
      <c r="S5" s="33"/>
      <c r="T5" s="33"/>
      <c r="U5" s="33">
        <f t="shared" si="2"/>
        <v>200000</v>
      </c>
      <c r="V5" s="33">
        <f t="shared" si="3"/>
        <v>0</v>
      </c>
      <c r="W5" s="33">
        <f t="shared" si="4"/>
        <v>200000</v>
      </c>
      <c r="X5" s="21"/>
      <c r="Y5" s="21"/>
      <c r="Z5" s="21"/>
    </row>
    <row r="6" ht="90" customHeight="1">
      <c r="A6" s="12">
        <v>4</v>
      </c>
      <c r="B6" s="67" t="s">
        <v>32</v>
      </c>
      <c r="C6" s="14"/>
      <c r="D6" s="14" t="s">
        <v>28</v>
      </c>
      <c r="E6" s="14"/>
      <c r="F6" s="14"/>
      <c r="G6" s="14"/>
      <c r="H6" s="14"/>
      <c r="I6" s="14"/>
      <c r="J6" s="14"/>
      <c r="K6" s="68" t="s">
        <v>29</v>
      </c>
      <c r="L6" s="69">
        <v>39934</v>
      </c>
      <c r="M6" s="70"/>
      <c r="N6" s="33">
        <f t="shared" si="0"/>
        <v>12500</v>
      </c>
      <c r="O6" s="34">
        <v>25000</v>
      </c>
      <c r="P6" s="33">
        <v>6</v>
      </c>
      <c r="Q6" s="33"/>
      <c r="R6" s="33">
        <f t="shared" si="1"/>
        <v>48</v>
      </c>
      <c r="S6" s="33"/>
      <c r="T6" s="33"/>
      <c r="U6" s="33">
        <f t="shared" si="2"/>
        <v>600000</v>
      </c>
      <c r="V6" s="33">
        <f t="shared" si="3"/>
        <v>0</v>
      </c>
      <c r="W6" s="33">
        <f t="shared" si="4"/>
        <v>600000</v>
      </c>
      <c r="X6" s="21"/>
      <c r="Y6" s="21"/>
      <c r="Z6" s="21"/>
    </row>
    <row r="7" ht="90" customHeight="1">
      <c r="A7" s="12">
        <v>5</v>
      </c>
      <c r="B7" s="67" t="s">
        <v>33</v>
      </c>
      <c r="C7" s="14"/>
      <c r="D7" s="14" t="s">
        <v>28</v>
      </c>
      <c r="E7" s="14"/>
      <c r="F7" s="14"/>
      <c r="G7" s="14"/>
      <c r="H7" s="14"/>
      <c r="I7" s="14"/>
      <c r="J7" s="14"/>
      <c r="K7" s="68" t="s">
        <v>29</v>
      </c>
      <c r="L7" s="69">
        <v>39934</v>
      </c>
      <c r="M7" s="70"/>
      <c r="N7" s="33">
        <f t="shared" si="0"/>
        <v>12500</v>
      </c>
      <c r="O7" s="34">
        <v>25000</v>
      </c>
      <c r="P7" s="33">
        <v>3</v>
      </c>
      <c r="Q7" s="33"/>
      <c r="R7" s="33">
        <f t="shared" si="1"/>
        <v>24</v>
      </c>
      <c r="S7" s="33">
        <v>6</v>
      </c>
      <c r="T7" s="33"/>
      <c r="U7" s="33">
        <f t="shared" si="2"/>
        <v>300000</v>
      </c>
      <c r="V7" s="33">
        <f t="shared" si="3"/>
        <v>150000</v>
      </c>
      <c r="W7" s="33">
        <f t="shared" si="4"/>
        <v>450000</v>
      </c>
      <c r="X7" s="21"/>
      <c r="Y7" s="21"/>
      <c r="Z7" s="21"/>
    </row>
    <row r="8" ht="90" customHeight="1">
      <c r="A8" s="12">
        <v>6</v>
      </c>
      <c r="B8" s="67" t="s">
        <v>34</v>
      </c>
      <c r="C8" s="14"/>
      <c r="D8" s="14" t="s">
        <v>28</v>
      </c>
      <c r="E8" s="14"/>
      <c r="F8" s="14"/>
      <c r="G8" s="14"/>
      <c r="H8" s="14"/>
      <c r="I8" s="14"/>
      <c r="J8" s="14"/>
      <c r="K8" s="68" t="s">
        <v>29</v>
      </c>
      <c r="L8" s="69">
        <v>39934</v>
      </c>
      <c r="M8" s="70"/>
      <c r="N8" s="33">
        <f t="shared" si="0"/>
        <v>12500</v>
      </c>
      <c r="O8" s="34">
        <v>25000</v>
      </c>
      <c r="P8" s="33">
        <v>5</v>
      </c>
      <c r="Q8" s="33"/>
      <c r="R8" s="33">
        <f t="shared" si="1"/>
        <v>40</v>
      </c>
      <c r="S8" s="33">
        <v>10</v>
      </c>
      <c r="T8" s="33"/>
      <c r="U8" s="33">
        <f t="shared" si="2"/>
        <v>500000</v>
      </c>
      <c r="V8" s="33">
        <f t="shared" si="3"/>
        <v>250000</v>
      </c>
      <c r="W8" s="33">
        <f t="shared" si="4"/>
        <v>750000</v>
      </c>
      <c r="X8" s="21"/>
      <c r="Y8" s="21"/>
      <c r="Z8" s="21"/>
    </row>
    <row r="9" ht="90" customHeight="1">
      <c r="A9" s="12">
        <v>7</v>
      </c>
      <c r="B9" s="67" t="s">
        <v>35</v>
      </c>
      <c r="C9" s="14"/>
      <c r="D9" s="14" t="s">
        <v>28</v>
      </c>
      <c r="E9" s="14"/>
      <c r="F9" s="14"/>
      <c r="G9" s="14"/>
      <c r="H9" s="14"/>
      <c r="I9" s="14"/>
      <c r="J9" s="14"/>
      <c r="K9" s="68" t="s">
        <v>29</v>
      </c>
      <c r="L9" s="69">
        <v>39934</v>
      </c>
      <c r="M9" s="70"/>
      <c r="N9" s="33">
        <f t="shared" si="0"/>
        <v>12500</v>
      </c>
      <c r="O9" s="34">
        <v>25000</v>
      </c>
      <c r="P9" s="33">
        <v>1</v>
      </c>
      <c r="Q9" s="33"/>
      <c r="R9" s="33">
        <f t="shared" si="1"/>
        <v>8</v>
      </c>
      <c r="S9" s="33"/>
      <c r="T9" s="33"/>
      <c r="U9" s="33">
        <f t="shared" si="2"/>
        <v>100000</v>
      </c>
      <c r="V9" s="33">
        <f t="shared" si="3"/>
        <v>0</v>
      </c>
      <c r="W9" s="33">
        <f t="shared" si="4"/>
        <v>100000</v>
      </c>
      <c r="X9" s="21"/>
      <c r="Y9" s="21"/>
      <c r="Z9" s="21"/>
    </row>
    <row r="10" ht="90" customHeight="1">
      <c r="A10" s="12">
        <v>8</v>
      </c>
      <c r="B10" s="67" t="s">
        <v>36</v>
      </c>
      <c r="C10" s="14"/>
      <c r="D10" s="14" t="s">
        <v>28</v>
      </c>
      <c r="E10" s="14"/>
      <c r="F10" s="14"/>
      <c r="G10" s="14"/>
      <c r="H10" s="14"/>
      <c r="I10" s="14"/>
      <c r="J10" s="14"/>
      <c r="K10" s="68" t="s">
        <v>29</v>
      </c>
      <c r="L10" s="69">
        <v>39934</v>
      </c>
      <c r="M10" s="70"/>
      <c r="N10" s="33">
        <f t="shared" si="0"/>
        <v>12500</v>
      </c>
      <c r="O10" s="34">
        <v>25000</v>
      </c>
      <c r="P10" s="33">
        <v>6</v>
      </c>
      <c r="Q10" s="33"/>
      <c r="R10" s="33">
        <f t="shared" si="1"/>
        <v>48</v>
      </c>
      <c r="S10" s="33">
        <v>12</v>
      </c>
      <c r="T10" s="33"/>
      <c r="U10" s="33">
        <f t="shared" si="2"/>
        <v>600000</v>
      </c>
      <c r="V10" s="33">
        <f t="shared" si="3"/>
        <v>300000</v>
      </c>
      <c r="W10" s="33">
        <f t="shared" si="4"/>
        <v>900000</v>
      </c>
      <c r="X10" s="21"/>
      <c r="Y10" s="21"/>
      <c r="Z10" s="21"/>
    </row>
    <row r="11" ht="90" customHeight="1">
      <c r="A11" s="12">
        <v>9</v>
      </c>
      <c r="B11" s="67" t="s">
        <v>37</v>
      </c>
      <c r="C11" s="14"/>
      <c r="D11" s="14" t="s">
        <v>28</v>
      </c>
      <c r="E11" s="14"/>
      <c r="F11" s="14"/>
      <c r="G11" s="14"/>
      <c r="H11" s="14"/>
      <c r="I11" s="14"/>
      <c r="J11" s="14"/>
      <c r="K11" s="68" t="s">
        <v>29</v>
      </c>
      <c r="L11" s="69">
        <v>39934</v>
      </c>
      <c r="M11" s="70"/>
      <c r="N11" s="33">
        <f t="shared" si="0"/>
        <v>12500</v>
      </c>
      <c r="O11" s="34">
        <v>25000</v>
      </c>
      <c r="P11" s="33">
        <v>6</v>
      </c>
      <c r="Q11" s="33"/>
      <c r="R11" s="33">
        <f t="shared" si="1"/>
        <v>48</v>
      </c>
      <c r="S11" s="33">
        <v>12</v>
      </c>
      <c r="T11" s="33"/>
      <c r="U11" s="33">
        <f t="shared" si="2"/>
        <v>600000</v>
      </c>
      <c r="V11" s="33">
        <f t="shared" si="3"/>
        <v>300000</v>
      </c>
      <c r="W11" s="33">
        <f t="shared" si="4"/>
        <v>900000</v>
      </c>
      <c r="X11" s="21"/>
      <c r="Y11" s="21"/>
      <c r="Z11" s="21"/>
    </row>
    <row r="12" ht="90" customHeight="1">
      <c r="A12" s="12">
        <v>10</v>
      </c>
      <c r="B12" s="67" t="s">
        <v>38</v>
      </c>
      <c r="C12" s="14"/>
      <c r="D12" s="14" t="s">
        <v>28</v>
      </c>
      <c r="E12" s="14"/>
      <c r="F12" s="14"/>
      <c r="G12" s="14"/>
      <c r="H12" s="14"/>
      <c r="I12" s="14"/>
      <c r="J12" s="14"/>
      <c r="K12" s="68" t="s">
        <v>29</v>
      </c>
      <c r="L12" s="69">
        <v>39934</v>
      </c>
      <c r="M12" s="70"/>
      <c r="N12" s="33">
        <f t="shared" si="0"/>
        <v>12500</v>
      </c>
      <c r="O12" s="34">
        <v>25000</v>
      </c>
      <c r="P12" s="33">
        <v>6</v>
      </c>
      <c r="Q12" s="33"/>
      <c r="R12" s="33">
        <f t="shared" si="1"/>
        <v>48</v>
      </c>
      <c r="S12" s="33">
        <v>12</v>
      </c>
      <c r="T12" s="33"/>
      <c r="U12" s="33">
        <f t="shared" si="2"/>
        <v>600000</v>
      </c>
      <c r="V12" s="33">
        <f t="shared" si="3"/>
        <v>300000</v>
      </c>
      <c r="W12" s="33">
        <f t="shared" si="4"/>
        <v>900000</v>
      </c>
      <c r="X12" s="21"/>
      <c r="Y12" s="21"/>
      <c r="Z12" s="21"/>
    </row>
    <row r="13" ht="90" customHeight="1">
      <c r="A13" s="12">
        <v>11</v>
      </c>
      <c r="B13" s="71" t="s">
        <v>39</v>
      </c>
      <c r="C13" s="14"/>
      <c r="D13" s="14" t="s">
        <v>28</v>
      </c>
      <c r="E13" s="14"/>
      <c r="F13" s="14"/>
      <c r="G13" s="14"/>
      <c r="H13" s="14"/>
      <c r="I13" s="14"/>
      <c r="J13" s="14"/>
      <c r="K13" s="68" t="s">
        <v>29</v>
      </c>
      <c r="L13" s="69">
        <v>39934</v>
      </c>
      <c r="M13" s="70"/>
      <c r="N13" s="33">
        <f t="shared" si="0"/>
        <v>12500</v>
      </c>
      <c r="O13" s="34">
        <v>25000</v>
      </c>
      <c r="P13" s="33">
        <v>3</v>
      </c>
      <c r="Q13" s="33"/>
      <c r="R13" s="33">
        <f t="shared" si="1"/>
        <v>24</v>
      </c>
      <c r="S13" s="33"/>
      <c r="T13" s="33"/>
      <c r="U13" s="33">
        <f t="shared" si="2"/>
        <v>300000</v>
      </c>
      <c r="V13" s="33">
        <f t="shared" si="3"/>
        <v>0</v>
      </c>
      <c r="W13" s="33">
        <f t="shared" si="4"/>
        <v>300000</v>
      </c>
      <c r="X13" s="21"/>
      <c r="Y13" s="21"/>
      <c r="Z13" s="21"/>
    </row>
    <row r="14" ht="90" customHeight="1">
      <c r="A14" s="12">
        <v>12</v>
      </c>
      <c r="B14" s="67" t="s">
        <v>40</v>
      </c>
      <c r="C14" s="14"/>
      <c r="D14" s="14" t="s">
        <v>28</v>
      </c>
      <c r="E14" s="14"/>
      <c r="F14" s="14"/>
      <c r="G14" s="14"/>
      <c r="H14" s="14"/>
      <c r="I14" s="14"/>
      <c r="J14" s="14"/>
      <c r="K14" s="68" t="s">
        <v>29</v>
      </c>
      <c r="L14" s="69">
        <v>39934</v>
      </c>
      <c r="M14" s="70"/>
      <c r="N14" s="33">
        <f t="shared" si="0"/>
        <v>12500</v>
      </c>
      <c r="O14" s="34">
        <v>25000</v>
      </c>
      <c r="P14" s="33">
        <v>5</v>
      </c>
      <c r="Q14" s="33"/>
      <c r="R14" s="33">
        <f t="shared" si="1"/>
        <v>40</v>
      </c>
      <c r="S14" s="33">
        <v>10</v>
      </c>
      <c r="T14" s="33"/>
      <c r="U14" s="33">
        <f t="shared" si="2"/>
        <v>500000</v>
      </c>
      <c r="V14" s="33">
        <f t="shared" si="3"/>
        <v>250000</v>
      </c>
      <c r="W14" s="33">
        <f t="shared" si="4"/>
        <v>750000</v>
      </c>
      <c r="X14" s="21"/>
      <c r="Y14" s="21"/>
      <c r="Z14" s="21"/>
    </row>
    <row r="15" ht="90" customHeight="1">
      <c r="A15" s="12">
        <v>13</v>
      </c>
      <c r="B15" s="67" t="s">
        <v>41</v>
      </c>
      <c r="C15" s="14"/>
      <c r="D15" s="14" t="s">
        <v>28</v>
      </c>
      <c r="E15" s="14"/>
      <c r="F15" s="14"/>
      <c r="G15" s="14"/>
      <c r="H15" s="14"/>
      <c r="I15" s="14"/>
      <c r="J15" s="14"/>
      <c r="K15" s="68" t="s">
        <v>29</v>
      </c>
      <c r="L15" s="69">
        <v>39934</v>
      </c>
      <c r="M15" s="70"/>
      <c r="N15" s="33">
        <f t="shared" si="0"/>
        <v>12500</v>
      </c>
      <c r="O15" s="34">
        <v>25000</v>
      </c>
      <c r="P15" s="33">
        <v>6</v>
      </c>
      <c r="Q15" s="33"/>
      <c r="R15" s="33">
        <f t="shared" si="1"/>
        <v>48</v>
      </c>
      <c r="S15" s="33">
        <v>12</v>
      </c>
      <c r="T15" s="33"/>
      <c r="U15" s="33">
        <f t="shared" si="2"/>
        <v>600000</v>
      </c>
      <c r="V15" s="33">
        <f t="shared" si="3"/>
        <v>300000</v>
      </c>
      <c r="W15" s="33">
        <f t="shared" si="4"/>
        <v>900000</v>
      </c>
      <c r="X15" s="21"/>
      <c r="Y15" s="21"/>
      <c r="Z15" s="21"/>
    </row>
    <row r="16" ht="90" customHeight="1">
      <c r="A16" s="12">
        <v>14</v>
      </c>
      <c r="B16" s="67" t="s">
        <v>42</v>
      </c>
      <c r="C16" s="14"/>
      <c r="D16" s="14" t="s">
        <v>28</v>
      </c>
      <c r="E16" s="14"/>
      <c r="F16" s="14"/>
      <c r="G16" s="14"/>
      <c r="H16" s="14"/>
      <c r="I16" s="14"/>
      <c r="J16" s="14"/>
      <c r="K16" s="68" t="s">
        <v>29</v>
      </c>
      <c r="L16" s="69">
        <v>39934</v>
      </c>
      <c r="M16" s="70"/>
      <c r="N16" s="33">
        <v>21875</v>
      </c>
      <c r="O16" s="34">
        <v>25000</v>
      </c>
      <c r="P16" s="33">
        <v>6</v>
      </c>
      <c r="Q16" s="33"/>
      <c r="R16" s="33">
        <f t="shared" si="1"/>
        <v>48</v>
      </c>
      <c r="S16" s="33"/>
      <c r="T16" s="33"/>
      <c r="U16" s="33">
        <f t="shared" si="2"/>
        <v>1050000</v>
      </c>
      <c r="V16" s="33">
        <f t="shared" si="3"/>
        <v>0</v>
      </c>
      <c r="W16" s="33">
        <f t="shared" si="4"/>
        <v>1050000</v>
      </c>
      <c r="X16" s="21"/>
      <c r="Y16" s="21"/>
      <c r="Z16" s="21"/>
    </row>
    <row r="17" ht="90" customHeight="1">
      <c r="A17" s="12">
        <v>15</v>
      </c>
      <c r="B17" s="67" t="s">
        <v>43</v>
      </c>
      <c r="C17" s="14"/>
      <c r="D17" s="14" t="s">
        <v>28</v>
      </c>
      <c r="E17" s="14"/>
      <c r="F17" s="14"/>
      <c r="G17" s="14"/>
      <c r="H17" s="14"/>
      <c r="I17" s="14"/>
      <c r="J17" s="14"/>
      <c r="K17" s="68" t="s">
        <v>29</v>
      </c>
      <c r="L17" s="69">
        <v>39934</v>
      </c>
      <c r="M17" s="70"/>
      <c r="N17" s="33">
        <f t="shared" si="0"/>
        <v>12500</v>
      </c>
      <c r="O17" s="34">
        <v>25000</v>
      </c>
      <c r="P17" s="33">
        <v>4</v>
      </c>
      <c r="Q17" s="33"/>
      <c r="R17" s="33">
        <f t="shared" si="1"/>
        <v>32</v>
      </c>
      <c r="S17" s="33">
        <v>8</v>
      </c>
      <c r="T17" s="33"/>
      <c r="U17" s="33">
        <f t="shared" si="2"/>
        <v>400000</v>
      </c>
      <c r="V17" s="33">
        <f t="shared" si="3"/>
        <v>200000</v>
      </c>
      <c r="W17" s="33">
        <f t="shared" si="4"/>
        <v>600000</v>
      </c>
      <c r="X17" s="21"/>
      <c r="Y17" s="21"/>
      <c r="Z17" s="21"/>
    </row>
    <row r="18" ht="90" customHeight="1">
      <c r="A18" s="12">
        <v>16</v>
      </c>
      <c r="B18" s="67" t="s">
        <v>44</v>
      </c>
      <c r="C18" s="14"/>
      <c r="D18" s="14" t="s">
        <v>28</v>
      </c>
      <c r="E18" s="14"/>
      <c r="F18" s="14"/>
      <c r="G18" s="14"/>
      <c r="H18" s="14"/>
      <c r="I18" s="14"/>
      <c r="J18" s="14"/>
      <c r="K18" s="68" t="s">
        <v>29</v>
      </c>
      <c r="L18" s="69">
        <v>39934</v>
      </c>
      <c r="M18" s="70"/>
      <c r="N18" s="33">
        <f t="shared" si="0"/>
        <v>12500</v>
      </c>
      <c r="O18" s="34">
        <v>25000</v>
      </c>
      <c r="P18" s="33">
        <v>3</v>
      </c>
      <c r="Q18" s="33"/>
      <c r="R18" s="33">
        <f t="shared" si="1"/>
        <v>24</v>
      </c>
      <c r="S18" s="33">
        <v>6</v>
      </c>
      <c r="T18" s="33"/>
      <c r="U18" s="33">
        <f t="shared" si="2"/>
        <v>300000</v>
      </c>
      <c r="V18" s="33">
        <f t="shared" si="3"/>
        <v>150000</v>
      </c>
      <c r="W18" s="33">
        <f t="shared" si="4"/>
        <v>450000</v>
      </c>
      <c r="X18" s="21"/>
      <c r="Y18" s="21"/>
      <c r="Z18" s="21"/>
    </row>
    <row r="19" ht="90" customHeight="1">
      <c r="A19" s="12">
        <v>17</v>
      </c>
      <c r="B19" s="67" t="s">
        <v>45</v>
      </c>
      <c r="C19" s="14"/>
      <c r="D19" s="14" t="s">
        <v>28</v>
      </c>
      <c r="E19" s="14"/>
      <c r="F19" s="14"/>
      <c r="G19" s="14"/>
      <c r="H19" s="14"/>
      <c r="I19" s="14"/>
      <c r="J19" s="14"/>
      <c r="K19" s="68" t="s">
        <v>29</v>
      </c>
      <c r="L19" s="69">
        <v>39934</v>
      </c>
      <c r="M19" s="70"/>
      <c r="N19" s="33">
        <f t="shared" si="0"/>
        <v>12500</v>
      </c>
      <c r="O19" s="34">
        <v>25000</v>
      </c>
      <c r="P19" s="33">
        <v>1</v>
      </c>
      <c r="Q19" s="33"/>
      <c r="R19" s="33">
        <f t="shared" si="1"/>
        <v>8</v>
      </c>
      <c r="S19" s="33"/>
      <c r="T19" s="33"/>
      <c r="U19" s="33">
        <f t="shared" si="2"/>
        <v>100000</v>
      </c>
      <c r="V19" s="33">
        <f t="shared" si="3"/>
        <v>0</v>
      </c>
      <c r="W19" s="33">
        <f t="shared" si="4"/>
        <v>100000</v>
      </c>
      <c r="X19" s="21"/>
      <c r="Y19" s="21"/>
      <c r="Z19" s="21"/>
    </row>
    <row r="20" ht="90" customHeight="1">
      <c r="A20" s="12">
        <v>18</v>
      </c>
      <c r="B20" s="67" t="s">
        <v>46</v>
      </c>
      <c r="C20" s="14"/>
      <c r="D20" s="14" t="s">
        <v>28</v>
      </c>
      <c r="E20" s="14"/>
      <c r="F20" s="14"/>
      <c r="G20" s="14"/>
      <c r="H20" s="14"/>
      <c r="I20" s="14"/>
      <c r="J20" s="14"/>
      <c r="K20" s="68" t="s">
        <v>29</v>
      </c>
      <c r="L20" s="69">
        <v>39934</v>
      </c>
      <c r="M20" s="70"/>
      <c r="N20" s="33">
        <v>21875</v>
      </c>
      <c r="O20" s="34">
        <v>25000</v>
      </c>
      <c r="P20" s="72">
        <v>4.5</v>
      </c>
      <c r="Q20" s="33"/>
      <c r="R20" s="33">
        <f t="shared" si="1"/>
        <v>36</v>
      </c>
      <c r="S20" s="33"/>
      <c r="T20" s="33"/>
      <c r="U20" s="33">
        <f t="shared" si="2"/>
        <v>787500</v>
      </c>
      <c r="V20" s="33">
        <f t="shared" si="3"/>
        <v>0</v>
      </c>
      <c r="W20" s="33">
        <f t="shared" si="4"/>
        <v>787500</v>
      </c>
      <c r="X20" s="21"/>
      <c r="Y20" s="21"/>
      <c r="Z20" s="21"/>
    </row>
    <row r="21" ht="90" customHeight="1">
      <c r="A21" s="12">
        <v>19</v>
      </c>
      <c r="B21" s="67" t="s">
        <v>47</v>
      </c>
      <c r="C21" s="14"/>
      <c r="D21" s="14" t="s">
        <v>28</v>
      </c>
      <c r="E21" s="14"/>
      <c r="F21" s="14"/>
      <c r="G21" s="14"/>
      <c r="H21" s="14"/>
      <c r="I21" s="14"/>
      <c r="J21" s="14"/>
      <c r="K21" s="68" t="s">
        <v>29</v>
      </c>
      <c r="L21" s="69">
        <v>39934</v>
      </c>
      <c r="M21" s="70"/>
      <c r="N21" s="33">
        <f t="shared" si="0"/>
        <v>12500</v>
      </c>
      <c r="O21" s="34">
        <v>25000</v>
      </c>
      <c r="P21" s="33">
        <v>6</v>
      </c>
      <c r="Q21" s="33"/>
      <c r="R21" s="33">
        <f t="shared" si="1"/>
        <v>48</v>
      </c>
      <c r="S21" s="33">
        <v>12</v>
      </c>
      <c r="T21" s="33"/>
      <c r="U21" s="33">
        <f t="shared" si="2"/>
        <v>600000</v>
      </c>
      <c r="V21" s="33">
        <f t="shared" si="3"/>
        <v>300000</v>
      </c>
      <c r="W21" s="33">
        <f t="shared" si="4"/>
        <v>900000</v>
      </c>
      <c r="X21" s="21"/>
      <c r="Y21" s="21"/>
      <c r="Z21" s="21"/>
    </row>
    <row r="22" ht="90" customHeight="1">
      <c r="A22" s="12">
        <v>20</v>
      </c>
      <c r="B22" s="71" t="s">
        <v>48</v>
      </c>
      <c r="C22" s="14"/>
      <c r="D22" s="14" t="s">
        <v>28</v>
      </c>
      <c r="E22" s="14"/>
      <c r="F22" s="14"/>
      <c r="G22" s="14"/>
      <c r="H22" s="14"/>
      <c r="I22" s="14"/>
      <c r="J22" s="14"/>
      <c r="K22" s="68" t="s">
        <v>29</v>
      </c>
      <c r="L22" s="69">
        <v>39934</v>
      </c>
      <c r="M22" s="70"/>
      <c r="N22" s="33">
        <v>15625</v>
      </c>
      <c r="O22" s="34">
        <v>25000</v>
      </c>
      <c r="P22" s="33">
        <v>4</v>
      </c>
      <c r="Q22" s="33"/>
      <c r="R22" s="33">
        <f t="shared" si="1"/>
        <v>32</v>
      </c>
      <c r="S22" s="33"/>
      <c r="T22" s="33"/>
      <c r="U22" s="33">
        <f t="shared" si="2"/>
        <v>500000</v>
      </c>
      <c r="V22" s="33">
        <f t="shared" si="3"/>
        <v>0</v>
      </c>
      <c r="W22" s="33">
        <f t="shared" si="4"/>
        <v>500000</v>
      </c>
      <c r="X22" s="21"/>
      <c r="Y22" s="21"/>
      <c r="Z22" s="21"/>
    </row>
    <row r="23" ht="90" customHeight="1">
      <c r="A23" s="12">
        <v>21</v>
      </c>
      <c r="B23" s="67" t="s">
        <v>49</v>
      </c>
      <c r="C23" s="14"/>
      <c r="D23" s="14" t="s">
        <v>28</v>
      </c>
      <c r="E23" s="14"/>
      <c r="F23" s="14"/>
      <c r="G23" s="14"/>
      <c r="H23" s="14"/>
      <c r="I23" s="14"/>
      <c r="J23" s="14"/>
      <c r="K23" s="68" t="s">
        <v>29</v>
      </c>
      <c r="L23" s="69">
        <v>39934</v>
      </c>
      <c r="M23" s="70"/>
      <c r="N23" s="33">
        <f t="shared" si="0"/>
        <v>12500</v>
      </c>
      <c r="O23" s="34">
        <v>25000</v>
      </c>
      <c r="P23" s="33">
        <v>5</v>
      </c>
      <c r="Q23" s="33"/>
      <c r="R23" s="33">
        <f t="shared" si="1"/>
        <v>40</v>
      </c>
      <c r="S23" s="33">
        <v>10</v>
      </c>
      <c r="T23" s="33"/>
      <c r="U23" s="33">
        <f t="shared" si="2"/>
        <v>500000</v>
      </c>
      <c r="V23" s="33">
        <f t="shared" si="3"/>
        <v>250000</v>
      </c>
      <c r="W23" s="33">
        <f t="shared" si="4"/>
        <v>750000</v>
      </c>
      <c r="X23" s="21"/>
      <c r="Y23" s="21"/>
      <c r="Z23" s="21"/>
    </row>
    <row r="24" ht="90" customHeight="1">
      <c r="A24" s="12">
        <v>22</v>
      </c>
      <c r="B24" s="67" t="s">
        <v>50</v>
      </c>
      <c r="C24" s="14"/>
      <c r="D24" s="14" t="s">
        <v>28</v>
      </c>
      <c r="E24" s="14"/>
      <c r="F24" s="14"/>
      <c r="G24" s="14"/>
      <c r="H24" s="14"/>
      <c r="I24" s="14"/>
      <c r="J24" s="14"/>
      <c r="K24" s="68" t="s">
        <v>29</v>
      </c>
      <c r="L24" s="69">
        <v>39934</v>
      </c>
      <c r="M24" s="70"/>
      <c r="N24" s="33">
        <f t="shared" si="0"/>
        <v>12500</v>
      </c>
      <c r="O24" s="34">
        <v>25000</v>
      </c>
      <c r="P24" s="33">
        <v>6</v>
      </c>
      <c r="Q24" s="33"/>
      <c r="R24" s="33">
        <f t="shared" si="1"/>
        <v>48</v>
      </c>
      <c r="S24" s="33">
        <v>12</v>
      </c>
      <c r="T24" s="33"/>
      <c r="U24" s="33">
        <f t="shared" si="2"/>
        <v>600000</v>
      </c>
      <c r="V24" s="33">
        <f t="shared" si="3"/>
        <v>300000</v>
      </c>
      <c r="W24" s="33">
        <f t="shared" si="4"/>
        <v>900000</v>
      </c>
      <c r="X24" s="21"/>
      <c r="Y24" s="21"/>
      <c r="Z24" s="21"/>
    </row>
    <row r="25" ht="90" customHeight="1">
      <c r="A25" s="12">
        <v>23</v>
      </c>
      <c r="B25" s="67" t="s">
        <v>51</v>
      </c>
      <c r="C25" s="14"/>
      <c r="D25" s="14" t="s">
        <v>28</v>
      </c>
      <c r="E25" s="14"/>
      <c r="F25" s="14"/>
      <c r="G25" s="14"/>
      <c r="H25" s="14"/>
      <c r="I25" s="14"/>
      <c r="J25" s="14"/>
      <c r="K25" s="68" t="s">
        <v>29</v>
      </c>
      <c r="L25" s="69">
        <v>39934</v>
      </c>
      <c r="M25" s="70"/>
      <c r="N25" s="33">
        <f t="shared" si="0"/>
        <v>12500</v>
      </c>
      <c r="O25" s="34">
        <v>25000</v>
      </c>
      <c r="P25" s="33">
        <v>6</v>
      </c>
      <c r="Q25" s="33"/>
      <c r="R25" s="33">
        <f t="shared" si="1"/>
        <v>48</v>
      </c>
      <c r="S25" s="33">
        <v>12</v>
      </c>
      <c r="T25" s="33"/>
      <c r="U25" s="33">
        <f t="shared" si="2"/>
        <v>600000</v>
      </c>
      <c r="V25" s="33">
        <f t="shared" si="3"/>
        <v>300000</v>
      </c>
      <c r="W25" s="33">
        <f t="shared" si="4"/>
        <v>900000</v>
      </c>
      <c r="X25" s="21"/>
      <c r="Y25" s="21"/>
      <c r="Z25" s="21"/>
    </row>
    <row r="26" ht="90" customHeight="1">
      <c r="A26" s="12">
        <v>24</v>
      </c>
      <c r="B26" s="67" t="s">
        <v>52</v>
      </c>
      <c r="C26" s="14"/>
      <c r="D26" s="14" t="s">
        <v>28</v>
      </c>
      <c r="E26" s="14"/>
      <c r="F26" s="14"/>
      <c r="G26" s="14"/>
      <c r="H26" s="14"/>
      <c r="I26" s="14"/>
      <c r="J26" s="14"/>
      <c r="K26" s="68" t="s">
        <v>29</v>
      </c>
      <c r="L26" s="69">
        <v>39934</v>
      </c>
      <c r="M26" s="70"/>
      <c r="N26" s="33">
        <f t="shared" si="0"/>
        <v>12500</v>
      </c>
      <c r="O26" s="34">
        <v>25000</v>
      </c>
      <c r="P26" s="33">
        <v>5</v>
      </c>
      <c r="Q26" s="33"/>
      <c r="R26" s="33">
        <f t="shared" si="1"/>
        <v>40</v>
      </c>
      <c r="S26" s="33">
        <v>10</v>
      </c>
      <c r="T26" s="33"/>
      <c r="U26" s="33">
        <f t="shared" si="2"/>
        <v>500000</v>
      </c>
      <c r="V26" s="33">
        <f t="shared" si="3"/>
        <v>250000</v>
      </c>
      <c r="W26" s="33">
        <f t="shared" si="4"/>
        <v>750000</v>
      </c>
      <c r="X26" s="21"/>
      <c r="Y26" s="21"/>
      <c r="Z26" s="21"/>
    </row>
    <row r="27" ht="90" customHeight="1">
      <c r="A27" s="12">
        <v>25</v>
      </c>
      <c r="B27" s="67" t="s">
        <v>52</v>
      </c>
      <c r="C27" s="14"/>
      <c r="D27" s="14" t="s">
        <v>28</v>
      </c>
      <c r="E27" s="14"/>
      <c r="F27" s="14"/>
      <c r="G27" s="14"/>
      <c r="H27" s="14"/>
      <c r="I27" s="14"/>
      <c r="J27" s="14"/>
      <c r="K27" s="68" t="s">
        <v>29</v>
      </c>
      <c r="L27" s="69">
        <v>39934</v>
      </c>
      <c r="M27" s="70"/>
      <c r="N27" s="33">
        <f t="shared" si="0"/>
        <v>12500</v>
      </c>
      <c r="O27" s="34">
        <v>25000</v>
      </c>
      <c r="P27" s="33"/>
      <c r="Q27" s="33"/>
      <c r="R27" s="33">
        <f t="shared" si="1"/>
        <v>0</v>
      </c>
      <c r="S27" s="33"/>
      <c r="T27" s="33"/>
      <c r="U27" s="33">
        <f t="shared" si="2"/>
        <v>0</v>
      </c>
      <c r="V27" s="33">
        <f t="shared" si="3"/>
        <v>0</v>
      </c>
      <c r="W27" s="33">
        <f t="shared" si="4"/>
        <v>0</v>
      </c>
      <c r="X27" s="21"/>
      <c r="Y27" s="21"/>
      <c r="Z27" s="21"/>
    </row>
    <row r="28" ht="90" customHeight="1">
      <c r="A28" s="12">
        <v>26</v>
      </c>
      <c r="B28" s="67" t="s">
        <v>53</v>
      </c>
      <c r="C28" s="14"/>
      <c r="D28" s="14" t="s">
        <v>28</v>
      </c>
      <c r="E28" s="14"/>
      <c r="F28" s="14"/>
      <c r="G28" s="14"/>
      <c r="H28" s="14"/>
      <c r="I28" s="14"/>
      <c r="J28" s="14"/>
      <c r="K28" s="68" t="s">
        <v>29</v>
      </c>
      <c r="L28" s="69">
        <v>39934</v>
      </c>
      <c r="M28" s="70"/>
      <c r="N28" s="33">
        <f t="shared" si="0"/>
        <v>12500</v>
      </c>
      <c r="O28" s="34">
        <v>25000</v>
      </c>
      <c r="P28" s="33">
        <v>5</v>
      </c>
      <c r="Q28" s="33"/>
      <c r="R28" s="33">
        <f t="shared" si="1"/>
        <v>40</v>
      </c>
      <c r="S28" s="33">
        <v>10</v>
      </c>
      <c r="T28" s="33"/>
      <c r="U28" s="33">
        <f t="shared" si="2"/>
        <v>500000</v>
      </c>
      <c r="V28" s="33">
        <f t="shared" si="3"/>
        <v>250000</v>
      </c>
      <c r="W28" s="33">
        <f t="shared" si="4"/>
        <v>750000</v>
      </c>
      <c r="X28" s="21"/>
      <c r="Y28" s="21"/>
      <c r="Z28" s="21"/>
    </row>
    <row r="29" ht="90" customHeight="1">
      <c r="A29" s="12">
        <v>27</v>
      </c>
      <c r="B29" s="67" t="s">
        <v>54</v>
      </c>
      <c r="C29" s="14"/>
      <c r="D29" s="14" t="s">
        <v>28</v>
      </c>
      <c r="E29" s="14"/>
      <c r="F29" s="14"/>
      <c r="G29" s="14"/>
      <c r="H29" s="14"/>
      <c r="I29" s="14"/>
      <c r="J29" s="14"/>
      <c r="K29" s="68" t="s">
        <v>29</v>
      </c>
      <c r="L29" s="69">
        <v>39934</v>
      </c>
      <c r="M29" s="70"/>
      <c r="N29" s="33">
        <f t="shared" si="0"/>
        <v>12500</v>
      </c>
      <c r="O29" s="34">
        <v>25000</v>
      </c>
      <c r="P29" s="33">
        <v>2</v>
      </c>
      <c r="Q29" s="33"/>
      <c r="R29" s="33">
        <f t="shared" si="1"/>
        <v>16</v>
      </c>
      <c r="S29" s="33">
        <v>4</v>
      </c>
      <c r="T29" s="33"/>
      <c r="U29" s="33">
        <f t="shared" si="2"/>
        <v>200000</v>
      </c>
      <c r="V29" s="33">
        <f t="shared" si="3"/>
        <v>100000</v>
      </c>
      <c r="W29" s="33">
        <f t="shared" si="4"/>
        <v>300000</v>
      </c>
      <c r="X29" s="21"/>
      <c r="Y29" s="21"/>
      <c r="Z29" s="21"/>
    </row>
    <row r="30" ht="90" customHeight="1">
      <c r="A30" s="12">
        <v>28</v>
      </c>
      <c r="B30" s="67" t="s">
        <v>55</v>
      </c>
      <c r="C30" s="14"/>
      <c r="D30" s="14" t="s">
        <v>28</v>
      </c>
      <c r="E30" s="14"/>
      <c r="F30" s="14"/>
      <c r="G30" s="14"/>
      <c r="H30" s="14"/>
      <c r="I30" s="14"/>
      <c r="J30" s="14"/>
      <c r="K30" s="68" t="s">
        <v>29</v>
      </c>
      <c r="L30" s="69">
        <v>39934</v>
      </c>
      <c r="M30" s="70"/>
      <c r="N30" s="33">
        <f t="shared" si="0"/>
        <v>12500</v>
      </c>
      <c r="O30" s="34">
        <v>25000</v>
      </c>
      <c r="P30" s="33">
        <v>5</v>
      </c>
      <c r="Q30" s="33"/>
      <c r="R30" s="33">
        <f t="shared" si="1"/>
        <v>40</v>
      </c>
      <c r="S30" s="33">
        <v>10</v>
      </c>
      <c r="T30" s="33"/>
      <c r="U30" s="33">
        <f t="shared" si="2"/>
        <v>500000</v>
      </c>
      <c r="V30" s="33">
        <f t="shared" si="3"/>
        <v>250000</v>
      </c>
      <c r="W30" s="33">
        <f t="shared" si="4"/>
        <v>750000</v>
      </c>
      <c r="X30" s="21"/>
      <c r="Y30" s="21"/>
      <c r="Z30" s="21"/>
    </row>
    <row r="31" ht="90" customHeight="1">
      <c r="A31" s="12">
        <v>29</v>
      </c>
      <c r="B31" s="67" t="s">
        <v>56</v>
      </c>
      <c r="C31" s="14"/>
      <c r="D31" s="14" t="s">
        <v>28</v>
      </c>
      <c r="E31" s="14"/>
      <c r="F31" s="14"/>
      <c r="G31" s="14"/>
      <c r="H31" s="14"/>
      <c r="I31" s="14"/>
      <c r="J31" s="14"/>
      <c r="K31" s="68" t="s">
        <v>29</v>
      </c>
      <c r="L31" s="69">
        <v>39934</v>
      </c>
      <c r="M31" s="70"/>
      <c r="N31" s="33">
        <f t="shared" si="0"/>
        <v>12500</v>
      </c>
      <c r="O31" s="34">
        <v>25000</v>
      </c>
      <c r="P31" s="33">
        <v>6</v>
      </c>
      <c r="Q31" s="33"/>
      <c r="R31" s="33">
        <f t="shared" si="1"/>
        <v>48</v>
      </c>
      <c r="S31" s="33">
        <v>12</v>
      </c>
      <c r="T31" s="33"/>
      <c r="U31" s="33">
        <f t="shared" si="2"/>
        <v>600000</v>
      </c>
      <c r="V31" s="33">
        <f t="shared" si="3"/>
        <v>300000</v>
      </c>
      <c r="W31" s="33">
        <f t="shared" si="4"/>
        <v>900000</v>
      </c>
      <c r="X31" s="21"/>
      <c r="Y31" s="21"/>
      <c r="Z31" s="21"/>
    </row>
    <row r="32" ht="90" customHeight="1">
      <c r="A32" s="12">
        <v>30</v>
      </c>
      <c r="B32" s="67" t="s">
        <v>57</v>
      </c>
      <c r="C32" s="14"/>
      <c r="D32" s="14" t="s">
        <v>28</v>
      </c>
      <c r="E32" s="14"/>
      <c r="F32" s="14"/>
      <c r="G32" s="14"/>
      <c r="H32" s="14"/>
      <c r="I32" s="14"/>
      <c r="J32" s="14"/>
      <c r="K32" s="68" t="s">
        <v>29</v>
      </c>
      <c r="L32" s="69">
        <v>39934</v>
      </c>
      <c r="M32" s="70"/>
      <c r="N32" s="33">
        <f t="shared" si="0"/>
        <v>12500</v>
      </c>
      <c r="O32" s="34">
        <v>25000</v>
      </c>
      <c r="P32" s="33">
        <v>6</v>
      </c>
      <c r="Q32" s="33"/>
      <c r="R32" s="33">
        <f t="shared" si="1"/>
        <v>48</v>
      </c>
      <c r="S32" s="33">
        <v>12</v>
      </c>
      <c r="T32" s="33"/>
      <c r="U32" s="33">
        <f t="shared" si="2"/>
        <v>600000</v>
      </c>
      <c r="V32" s="33">
        <f t="shared" si="3"/>
        <v>300000</v>
      </c>
      <c r="W32" s="33">
        <f t="shared" si="4"/>
        <v>900000</v>
      </c>
      <c r="X32" s="21"/>
      <c r="Y32" s="21"/>
      <c r="Z32" s="21"/>
    </row>
    <row r="33" ht="90" customHeight="1">
      <c r="A33" s="12">
        <v>31</v>
      </c>
      <c r="B33" s="67" t="s">
        <v>58</v>
      </c>
      <c r="C33" s="14"/>
      <c r="D33" s="14" t="s">
        <v>28</v>
      </c>
      <c r="E33" s="14"/>
      <c r="F33" s="14"/>
      <c r="G33" s="14"/>
      <c r="H33" s="14"/>
      <c r="I33" s="14"/>
      <c r="J33" s="14"/>
      <c r="K33" s="68" t="s">
        <v>29</v>
      </c>
      <c r="L33" s="69">
        <v>39934</v>
      </c>
      <c r="M33" s="70"/>
      <c r="N33" s="33">
        <f t="shared" si="0"/>
        <v>12500</v>
      </c>
      <c r="O33" s="34">
        <v>25000</v>
      </c>
      <c r="P33" s="33">
        <v>1</v>
      </c>
      <c r="Q33" s="33"/>
      <c r="R33" s="33">
        <f t="shared" si="1"/>
        <v>8</v>
      </c>
      <c r="S33" s="33"/>
      <c r="T33" s="33"/>
      <c r="U33" s="33">
        <f t="shared" si="2"/>
        <v>100000</v>
      </c>
      <c r="V33" s="33">
        <f t="shared" si="3"/>
        <v>0</v>
      </c>
      <c r="W33" s="33">
        <f t="shared" si="4"/>
        <v>100000</v>
      </c>
      <c r="X33" s="21"/>
      <c r="Y33" s="21"/>
      <c r="Z33" s="21"/>
    </row>
    <row r="34" ht="90" customHeight="1">
      <c r="A34" s="12">
        <v>32</v>
      </c>
      <c r="B34" s="67" t="s">
        <v>59</v>
      </c>
      <c r="C34" s="14"/>
      <c r="D34" s="14" t="s">
        <v>28</v>
      </c>
      <c r="E34" s="14"/>
      <c r="F34" s="14"/>
      <c r="G34" s="14"/>
      <c r="H34" s="14"/>
      <c r="I34" s="14"/>
      <c r="J34" s="14"/>
      <c r="K34" s="68" t="s">
        <v>29</v>
      </c>
      <c r="L34" s="69">
        <v>39934</v>
      </c>
      <c r="M34" s="70"/>
      <c r="N34" s="33">
        <f t="shared" si="0"/>
        <v>12500</v>
      </c>
      <c r="O34" s="34">
        <v>25000</v>
      </c>
      <c r="P34" s="33">
        <v>6</v>
      </c>
      <c r="Q34" s="33"/>
      <c r="R34" s="33">
        <f t="shared" si="1"/>
        <v>48</v>
      </c>
      <c r="S34" s="33">
        <v>10</v>
      </c>
      <c r="T34" s="33"/>
      <c r="U34" s="33">
        <f t="shared" si="2"/>
        <v>600000</v>
      </c>
      <c r="V34" s="33">
        <f t="shared" si="3"/>
        <v>250000</v>
      </c>
      <c r="W34" s="33">
        <f t="shared" si="4"/>
        <v>850000</v>
      </c>
      <c r="X34" s="21"/>
      <c r="Y34" s="21"/>
      <c r="Z34" s="21"/>
    </row>
    <row r="35" ht="90" customHeight="1">
      <c r="A35" s="12">
        <v>33</v>
      </c>
      <c r="B35" s="67" t="s">
        <v>60</v>
      </c>
      <c r="C35" s="14"/>
      <c r="D35" s="14" t="s">
        <v>28</v>
      </c>
      <c r="E35" s="14"/>
      <c r="F35" s="14"/>
      <c r="G35" s="14"/>
      <c r="H35" s="14"/>
      <c r="I35" s="14"/>
      <c r="J35" s="14"/>
      <c r="K35" s="68" t="s">
        <v>29</v>
      </c>
      <c r="L35" s="69">
        <v>39934</v>
      </c>
      <c r="M35" s="70"/>
      <c r="N35" s="33">
        <f t="shared" si="0"/>
        <v>12500</v>
      </c>
      <c r="O35" s="34">
        <v>25000</v>
      </c>
      <c r="P35" s="33">
        <v>5</v>
      </c>
      <c r="Q35" s="33"/>
      <c r="R35" s="33">
        <f t="shared" si="1"/>
        <v>40</v>
      </c>
      <c r="S35" s="33">
        <v>10</v>
      </c>
      <c r="T35" s="33"/>
      <c r="U35" s="33">
        <f t="shared" si="2"/>
        <v>500000</v>
      </c>
      <c r="V35" s="33">
        <f t="shared" si="3"/>
        <v>250000</v>
      </c>
      <c r="W35" s="33">
        <f t="shared" si="4"/>
        <v>750000</v>
      </c>
      <c r="X35" s="21"/>
      <c r="Y35" s="21"/>
      <c r="Z35" s="21"/>
    </row>
    <row r="36" ht="90" customHeight="1">
      <c r="A36" s="12">
        <v>34</v>
      </c>
      <c r="B36" s="67" t="s">
        <v>61</v>
      </c>
      <c r="C36" s="14"/>
      <c r="D36" s="14" t="s">
        <v>28</v>
      </c>
      <c r="E36" s="14"/>
      <c r="F36" s="14"/>
      <c r="G36" s="14"/>
      <c r="H36" s="14"/>
      <c r="I36" s="14"/>
      <c r="J36" s="14"/>
      <c r="K36" s="68" t="s">
        <v>29</v>
      </c>
      <c r="L36" s="69">
        <v>39934</v>
      </c>
      <c r="M36" s="70"/>
      <c r="N36" s="33">
        <f t="shared" si="0"/>
        <v>12500</v>
      </c>
      <c r="O36" s="34">
        <v>25000</v>
      </c>
      <c r="P36" s="33">
        <v>6</v>
      </c>
      <c r="Q36" s="33"/>
      <c r="R36" s="33">
        <f t="shared" si="1"/>
        <v>48</v>
      </c>
      <c r="S36" s="33">
        <v>12</v>
      </c>
      <c r="T36" s="33"/>
      <c r="U36" s="33">
        <f t="shared" si="2"/>
        <v>600000</v>
      </c>
      <c r="V36" s="33">
        <f t="shared" si="3"/>
        <v>300000</v>
      </c>
      <c r="W36" s="33">
        <f t="shared" si="4"/>
        <v>900000</v>
      </c>
      <c r="X36" s="21"/>
      <c r="Y36" s="21"/>
      <c r="Z36" s="21"/>
    </row>
    <row r="37" ht="90" customHeight="1">
      <c r="A37" s="12">
        <v>35</v>
      </c>
      <c r="B37" s="67"/>
      <c r="C37" s="14"/>
      <c r="D37" s="14" t="s">
        <v>28</v>
      </c>
      <c r="E37" s="14"/>
      <c r="F37" s="14"/>
      <c r="G37" s="14"/>
      <c r="H37" s="14"/>
      <c r="I37" s="14"/>
      <c r="J37" s="14"/>
      <c r="K37" s="68" t="s">
        <v>29</v>
      </c>
      <c r="L37" s="69">
        <v>46023</v>
      </c>
      <c r="M37" s="70"/>
      <c r="N37" s="33">
        <f t="shared" si="0"/>
        <v>12500</v>
      </c>
      <c r="O37" s="34">
        <v>25000</v>
      </c>
      <c r="P37" s="33"/>
      <c r="Q37" s="33"/>
      <c r="R37" s="33">
        <f t="shared" si="1"/>
        <v>0</v>
      </c>
      <c r="S37" s="33"/>
      <c r="T37" s="33"/>
      <c r="U37" s="33">
        <f t="shared" si="2"/>
        <v>0</v>
      </c>
      <c r="V37" s="33">
        <f t="shared" si="3"/>
        <v>0</v>
      </c>
      <c r="W37" s="33">
        <f t="shared" si="4"/>
        <v>0</v>
      </c>
      <c r="X37" s="21"/>
      <c r="Y37" s="21"/>
      <c r="Z37" s="21"/>
    </row>
    <row r="38" ht="90" customHeight="1">
      <c r="A38" s="12">
        <v>36</v>
      </c>
      <c r="B38" s="67"/>
      <c r="C38" s="14"/>
      <c r="D38" s="14" t="s">
        <v>28</v>
      </c>
      <c r="E38" s="14"/>
      <c r="F38" s="14"/>
      <c r="G38" s="14"/>
      <c r="H38" s="14"/>
      <c r="I38" s="14"/>
      <c r="J38" s="14"/>
      <c r="K38" s="68" t="s">
        <v>29</v>
      </c>
      <c r="L38" s="69">
        <v>46054</v>
      </c>
      <c r="M38" s="70"/>
      <c r="N38" s="33">
        <f t="shared" si="0"/>
        <v>12500</v>
      </c>
      <c r="O38" s="34">
        <v>25000</v>
      </c>
      <c r="P38" s="33"/>
      <c r="Q38" s="33"/>
      <c r="R38" s="33">
        <f t="shared" si="1"/>
        <v>0</v>
      </c>
      <c r="S38" s="33"/>
      <c r="T38" s="33"/>
      <c r="U38" s="33">
        <f t="shared" si="2"/>
        <v>0</v>
      </c>
      <c r="V38" s="33">
        <f t="shared" si="3"/>
        <v>0</v>
      </c>
      <c r="W38" s="33">
        <f t="shared" si="4"/>
        <v>0</v>
      </c>
      <c r="X38" s="21"/>
      <c r="Y38" s="21"/>
      <c r="Z38" s="21"/>
    </row>
    <row r="39" ht="90" customHeight="1">
      <c r="A39" s="12">
        <v>37</v>
      </c>
      <c r="B39" s="67"/>
      <c r="C39" s="14"/>
      <c r="D39" s="14" t="s">
        <v>28</v>
      </c>
      <c r="E39" s="14"/>
      <c r="F39" s="14"/>
      <c r="G39" s="14"/>
      <c r="H39" s="14"/>
      <c r="I39" s="14"/>
      <c r="J39" s="14"/>
      <c r="K39" s="68" t="s">
        <v>29</v>
      </c>
      <c r="L39" s="69">
        <v>46082</v>
      </c>
      <c r="M39" s="70"/>
      <c r="N39" s="33">
        <f t="shared" si="0"/>
        <v>12500</v>
      </c>
      <c r="O39" s="34">
        <v>25000</v>
      </c>
      <c r="P39" s="33"/>
      <c r="Q39" s="33"/>
      <c r="R39" s="33">
        <f t="shared" si="1"/>
        <v>0</v>
      </c>
      <c r="S39" s="33"/>
      <c r="T39" s="33"/>
      <c r="U39" s="33">
        <f t="shared" si="2"/>
        <v>0</v>
      </c>
      <c r="V39" s="33">
        <f t="shared" si="3"/>
        <v>0</v>
      </c>
      <c r="W39" s="33">
        <f t="shared" si="4"/>
        <v>0</v>
      </c>
      <c r="X39" s="21"/>
      <c r="Y39" s="21"/>
      <c r="Z39" s="21"/>
    </row>
    <row r="40" ht="90" customHeight="1">
      <c r="A40" s="12">
        <v>38</v>
      </c>
      <c r="B40" s="67"/>
      <c r="C40" s="14"/>
      <c r="D40" s="14" t="s">
        <v>28</v>
      </c>
      <c r="E40" s="14"/>
      <c r="F40" s="14"/>
      <c r="G40" s="14"/>
      <c r="H40" s="14"/>
      <c r="I40" s="14"/>
      <c r="J40" s="14"/>
      <c r="K40" s="68" t="s">
        <v>29</v>
      </c>
      <c r="L40" s="69">
        <v>46113</v>
      </c>
      <c r="M40" s="70"/>
      <c r="N40" s="33">
        <f t="shared" si="0"/>
        <v>12500</v>
      </c>
      <c r="O40" s="34">
        <v>25000</v>
      </c>
      <c r="P40" s="33"/>
      <c r="Q40" s="33"/>
      <c r="R40" s="33">
        <f t="shared" ref="R40:R64" si="5">P40*8</f>
        <v>0</v>
      </c>
      <c r="S40" s="33"/>
      <c r="T40" s="33"/>
      <c r="U40" s="33">
        <f t="shared" ref="U40:U64" si="6">R40*N40</f>
        <v>0</v>
      </c>
      <c r="V40" s="33">
        <f t="shared" ref="V40:V64" si="7">(S40)*O40</f>
        <v>0</v>
      </c>
      <c r="W40" s="33">
        <f t="shared" si="4"/>
        <v>0</v>
      </c>
      <c r="X40" s="21"/>
      <c r="Y40" s="21"/>
      <c r="Z40" s="21"/>
    </row>
    <row r="41" ht="90" customHeight="1">
      <c r="A41" s="12">
        <v>39</v>
      </c>
      <c r="B41" s="67"/>
      <c r="C41" s="14"/>
      <c r="D41" s="14" t="s">
        <v>28</v>
      </c>
      <c r="E41" s="14"/>
      <c r="F41" s="14"/>
      <c r="G41" s="14"/>
      <c r="H41" s="14"/>
      <c r="I41" s="14"/>
      <c r="J41" s="14"/>
      <c r="K41" s="68" t="s">
        <v>29</v>
      </c>
      <c r="L41" s="69">
        <v>46143</v>
      </c>
      <c r="M41" s="70"/>
      <c r="N41" s="33">
        <f t="shared" si="0"/>
        <v>12500</v>
      </c>
      <c r="O41" s="34">
        <v>25000</v>
      </c>
      <c r="P41" s="33"/>
      <c r="Q41" s="33"/>
      <c r="R41" s="33">
        <f t="shared" si="5"/>
        <v>0</v>
      </c>
      <c r="S41" s="33"/>
      <c r="T41" s="33">
        <v>2</v>
      </c>
      <c r="U41" s="33">
        <f t="shared" si="6"/>
        <v>0</v>
      </c>
      <c r="V41" s="33">
        <f t="shared" si="7"/>
        <v>0</v>
      </c>
      <c r="W41" s="33">
        <f t="shared" si="4"/>
        <v>0</v>
      </c>
      <c r="X41" s="21"/>
      <c r="Y41" s="21"/>
      <c r="Z41" s="21"/>
    </row>
    <row r="42" ht="90" customHeight="1">
      <c r="A42" s="12">
        <v>40</v>
      </c>
      <c r="B42" s="67"/>
      <c r="C42" s="14"/>
      <c r="D42" s="14" t="s">
        <v>28</v>
      </c>
      <c r="E42" s="14"/>
      <c r="F42" s="14"/>
      <c r="G42" s="14"/>
      <c r="H42" s="14"/>
      <c r="I42" s="14"/>
      <c r="J42" s="14"/>
      <c r="K42" s="68" t="s">
        <v>29</v>
      </c>
      <c r="L42" s="69">
        <v>46174</v>
      </c>
      <c r="M42" s="70"/>
      <c r="N42" s="33">
        <f t="shared" si="0"/>
        <v>12500</v>
      </c>
      <c r="O42" s="34">
        <v>25000</v>
      </c>
      <c r="P42" s="33"/>
      <c r="Q42" s="33"/>
      <c r="R42" s="33">
        <f t="shared" si="5"/>
        <v>0</v>
      </c>
      <c r="S42" s="33"/>
      <c r="T42" s="33">
        <v>3</v>
      </c>
      <c r="U42" s="33">
        <f t="shared" si="6"/>
        <v>0</v>
      </c>
      <c r="V42" s="33">
        <f t="shared" si="7"/>
        <v>0</v>
      </c>
      <c r="W42" s="33">
        <f t="shared" si="4"/>
        <v>0</v>
      </c>
      <c r="X42" s="21"/>
      <c r="Y42" s="21"/>
      <c r="Z42" s="21"/>
    </row>
    <row r="43" ht="90" customHeight="1">
      <c r="A43" s="12">
        <v>41</v>
      </c>
      <c r="B43" s="67"/>
      <c r="C43" s="14"/>
      <c r="D43" s="14" t="s">
        <v>28</v>
      </c>
      <c r="E43" s="14"/>
      <c r="F43" s="14"/>
      <c r="G43" s="14"/>
      <c r="H43" s="14"/>
      <c r="I43" s="14"/>
      <c r="J43" s="14"/>
      <c r="K43" s="68" t="s">
        <v>29</v>
      </c>
      <c r="L43" s="69">
        <v>46204</v>
      </c>
      <c r="M43" s="70"/>
      <c r="N43" s="33">
        <f t="shared" si="0"/>
        <v>12500</v>
      </c>
      <c r="O43" s="34">
        <v>25000</v>
      </c>
      <c r="P43" s="33"/>
      <c r="Q43" s="33"/>
      <c r="R43" s="33">
        <f t="shared" si="5"/>
        <v>0</v>
      </c>
      <c r="S43" s="33"/>
      <c r="T43" s="33">
        <v>4</v>
      </c>
      <c r="U43" s="33">
        <f t="shared" si="6"/>
        <v>0</v>
      </c>
      <c r="V43" s="33">
        <f t="shared" si="7"/>
        <v>0</v>
      </c>
      <c r="W43" s="33">
        <f t="shared" si="4"/>
        <v>0</v>
      </c>
      <c r="X43" s="21"/>
      <c r="Y43" s="21"/>
      <c r="Z43" s="21"/>
    </row>
    <row r="44" ht="90" customHeight="1">
      <c r="A44" s="12">
        <v>42</v>
      </c>
      <c r="B44" s="67"/>
      <c r="C44" s="14"/>
      <c r="D44" s="14" t="s">
        <v>28</v>
      </c>
      <c r="E44" s="14"/>
      <c r="F44" s="14"/>
      <c r="G44" s="14"/>
      <c r="H44" s="14"/>
      <c r="I44" s="14"/>
      <c r="J44" s="14"/>
      <c r="K44" s="68" t="s">
        <v>29</v>
      </c>
      <c r="L44" s="69">
        <v>46235</v>
      </c>
      <c r="M44" s="70"/>
      <c r="N44" s="33">
        <f t="shared" si="0"/>
        <v>12500</v>
      </c>
      <c r="O44" s="34">
        <v>25000</v>
      </c>
      <c r="P44" s="33"/>
      <c r="Q44" s="33"/>
      <c r="R44" s="33">
        <f t="shared" si="5"/>
        <v>0</v>
      </c>
      <c r="S44" s="33"/>
      <c r="T44" s="33">
        <v>5</v>
      </c>
      <c r="U44" s="33">
        <f t="shared" si="6"/>
        <v>0</v>
      </c>
      <c r="V44" s="33">
        <f t="shared" si="7"/>
        <v>0</v>
      </c>
      <c r="W44" s="33">
        <f t="shared" si="4"/>
        <v>0</v>
      </c>
      <c r="X44" s="21"/>
      <c r="Y44" s="21"/>
      <c r="Z44" s="21"/>
    </row>
    <row r="45" ht="90" customHeight="1">
      <c r="A45" s="12">
        <v>43</v>
      </c>
      <c r="B45" s="67"/>
      <c r="C45" s="14"/>
      <c r="D45" s="14" t="s">
        <v>28</v>
      </c>
      <c r="E45" s="14"/>
      <c r="F45" s="14"/>
      <c r="G45" s="14"/>
      <c r="H45" s="14"/>
      <c r="I45" s="14"/>
      <c r="J45" s="14"/>
      <c r="K45" s="68" t="s">
        <v>29</v>
      </c>
      <c r="L45" s="69">
        <v>46266</v>
      </c>
      <c r="M45" s="70"/>
      <c r="N45" s="33">
        <f t="shared" si="0"/>
        <v>12500</v>
      </c>
      <c r="O45" s="34">
        <v>25000</v>
      </c>
      <c r="P45" s="33"/>
      <c r="Q45" s="33"/>
      <c r="R45" s="33">
        <f t="shared" si="5"/>
        <v>0</v>
      </c>
      <c r="S45" s="33"/>
      <c r="T45" s="33">
        <v>6</v>
      </c>
      <c r="U45" s="33">
        <f t="shared" si="6"/>
        <v>0</v>
      </c>
      <c r="V45" s="33">
        <f t="shared" si="7"/>
        <v>0</v>
      </c>
      <c r="W45" s="33">
        <f t="shared" si="4"/>
        <v>0</v>
      </c>
      <c r="X45" s="21"/>
      <c r="Y45" s="21"/>
      <c r="Z45" s="21"/>
    </row>
    <row r="46" ht="90" customHeight="1">
      <c r="A46" s="12">
        <v>44</v>
      </c>
      <c r="B46" s="67"/>
      <c r="C46" s="14"/>
      <c r="D46" s="14" t="s">
        <v>28</v>
      </c>
      <c r="E46" s="14"/>
      <c r="F46" s="14"/>
      <c r="G46" s="14"/>
      <c r="H46" s="14"/>
      <c r="I46" s="14"/>
      <c r="J46" s="14"/>
      <c r="K46" s="68" t="s">
        <v>29</v>
      </c>
      <c r="L46" s="69">
        <v>46296</v>
      </c>
      <c r="M46" s="70"/>
      <c r="N46" s="33">
        <f t="shared" si="0"/>
        <v>12500</v>
      </c>
      <c r="O46" s="34">
        <v>25000</v>
      </c>
      <c r="P46" s="33"/>
      <c r="Q46" s="33"/>
      <c r="R46" s="33">
        <f t="shared" si="5"/>
        <v>0</v>
      </c>
      <c r="S46" s="33"/>
      <c r="T46" s="33">
        <v>7</v>
      </c>
      <c r="U46" s="33">
        <f t="shared" si="6"/>
        <v>0</v>
      </c>
      <c r="V46" s="33">
        <f t="shared" si="7"/>
        <v>0</v>
      </c>
      <c r="W46" s="33">
        <f t="shared" si="4"/>
        <v>0</v>
      </c>
      <c r="X46" s="21"/>
      <c r="Y46" s="21"/>
      <c r="Z46" s="21"/>
    </row>
    <row r="47" ht="90" customHeight="1">
      <c r="A47" s="12">
        <v>45</v>
      </c>
      <c r="B47" s="67"/>
      <c r="C47" s="14"/>
      <c r="D47" s="14" t="s">
        <v>28</v>
      </c>
      <c r="E47" s="14"/>
      <c r="F47" s="14"/>
      <c r="G47" s="14"/>
      <c r="H47" s="14"/>
      <c r="I47" s="14"/>
      <c r="J47" s="14"/>
      <c r="K47" s="68" t="s">
        <v>29</v>
      </c>
      <c r="L47" s="69">
        <v>46327</v>
      </c>
      <c r="M47" s="70"/>
      <c r="N47" s="33">
        <f t="shared" si="0"/>
        <v>12500</v>
      </c>
      <c r="O47" s="34">
        <v>25000</v>
      </c>
      <c r="P47" s="33"/>
      <c r="Q47" s="33"/>
      <c r="R47" s="33">
        <f t="shared" si="5"/>
        <v>0</v>
      </c>
      <c r="S47" s="33"/>
      <c r="T47" s="33">
        <v>8</v>
      </c>
      <c r="U47" s="33">
        <f t="shared" si="6"/>
        <v>0</v>
      </c>
      <c r="V47" s="33">
        <f t="shared" si="7"/>
        <v>0</v>
      </c>
      <c r="W47" s="33">
        <f t="shared" si="4"/>
        <v>0</v>
      </c>
      <c r="X47" s="21"/>
      <c r="Y47" s="21"/>
      <c r="Z47" s="21"/>
    </row>
    <row r="48" ht="90" customHeight="1">
      <c r="A48" s="12">
        <v>46</v>
      </c>
      <c r="B48" s="67"/>
      <c r="C48" s="14"/>
      <c r="D48" s="14" t="s">
        <v>28</v>
      </c>
      <c r="E48" s="14"/>
      <c r="F48" s="14"/>
      <c r="G48" s="14"/>
      <c r="H48" s="14"/>
      <c r="I48" s="14"/>
      <c r="J48" s="14"/>
      <c r="K48" s="68" t="s">
        <v>29</v>
      </c>
      <c r="L48" s="69">
        <v>46357</v>
      </c>
      <c r="M48" s="70"/>
      <c r="N48" s="33">
        <f t="shared" si="0"/>
        <v>12500</v>
      </c>
      <c r="O48" s="34">
        <v>25000</v>
      </c>
      <c r="P48" s="33"/>
      <c r="Q48" s="33"/>
      <c r="R48" s="33">
        <f t="shared" si="5"/>
        <v>0</v>
      </c>
      <c r="S48" s="33"/>
      <c r="T48" s="33">
        <v>9</v>
      </c>
      <c r="U48" s="33">
        <f t="shared" si="6"/>
        <v>0</v>
      </c>
      <c r="V48" s="33">
        <f t="shared" si="7"/>
        <v>0</v>
      </c>
      <c r="W48" s="33">
        <f t="shared" si="4"/>
        <v>0</v>
      </c>
      <c r="X48" s="21"/>
      <c r="Y48" s="21"/>
      <c r="Z48" s="21"/>
    </row>
    <row r="49" ht="90" customHeight="1">
      <c r="A49" s="12">
        <v>47</v>
      </c>
      <c r="B49" s="67"/>
      <c r="C49" s="14"/>
      <c r="D49" s="14" t="s">
        <v>28</v>
      </c>
      <c r="E49" s="14"/>
      <c r="F49" s="14"/>
      <c r="G49" s="14"/>
      <c r="H49" s="14"/>
      <c r="I49" s="14"/>
      <c r="J49" s="14"/>
      <c r="K49" s="68" t="s">
        <v>29</v>
      </c>
      <c r="L49" s="69">
        <v>46388</v>
      </c>
      <c r="M49" s="70"/>
      <c r="N49" s="33">
        <f t="shared" si="0"/>
        <v>12500</v>
      </c>
      <c r="O49" s="34">
        <v>25000</v>
      </c>
      <c r="P49" s="33"/>
      <c r="Q49" s="33"/>
      <c r="R49" s="33">
        <f t="shared" si="5"/>
        <v>0</v>
      </c>
      <c r="S49" s="33"/>
      <c r="T49" s="33">
        <v>10</v>
      </c>
      <c r="U49" s="33">
        <f t="shared" si="6"/>
        <v>0</v>
      </c>
      <c r="V49" s="33">
        <f t="shared" si="7"/>
        <v>0</v>
      </c>
      <c r="W49" s="33">
        <f t="shared" si="4"/>
        <v>0</v>
      </c>
      <c r="X49" s="21"/>
      <c r="Y49" s="21"/>
      <c r="Z49" s="21"/>
    </row>
    <row r="50" ht="90" customHeight="1">
      <c r="A50" s="12">
        <v>48</v>
      </c>
      <c r="B50" s="67"/>
      <c r="C50" s="14"/>
      <c r="D50" s="14" t="s">
        <v>28</v>
      </c>
      <c r="E50" s="14"/>
      <c r="F50" s="14"/>
      <c r="G50" s="14"/>
      <c r="H50" s="14"/>
      <c r="I50" s="14"/>
      <c r="J50" s="14"/>
      <c r="K50" s="68" t="s">
        <v>29</v>
      </c>
      <c r="L50" s="69">
        <v>46419</v>
      </c>
      <c r="M50" s="70"/>
      <c r="N50" s="33">
        <f t="shared" si="0"/>
        <v>12500</v>
      </c>
      <c r="O50" s="34">
        <v>25000</v>
      </c>
      <c r="P50" s="33"/>
      <c r="Q50" s="33"/>
      <c r="R50" s="33">
        <f t="shared" si="5"/>
        <v>0</v>
      </c>
      <c r="S50" s="33"/>
      <c r="T50" s="33">
        <v>11</v>
      </c>
      <c r="U50" s="33">
        <f t="shared" si="6"/>
        <v>0</v>
      </c>
      <c r="V50" s="33">
        <f t="shared" si="7"/>
        <v>0</v>
      </c>
      <c r="W50" s="33">
        <f t="shared" si="4"/>
        <v>0</v>
      </c>
      <c r="X50" s="21"/>
      <c r="Y50" s="21"/>
      <c r="Z50" s="21"/>
    </row>
    <row r="51" ht="90" customHeight="1">
      <c r="A51" s="12">
        <v>49</v>
      </c>
      <c r="B51" s="67"/>
      <c r="C51" s="14"/>
      <c r="D51" s="14" t="s">
        <v>28</v>
      </c>
      <c r="E51" s="14"/>
      <c r="F51" s="14"/>
      <c r="G51" s="14"/>
      <c r="H51" s="14"/>
      <c r="I51" s="14"/>
      <c r="J51" s="14"/>
      <c r="K51" s="68" t="s">
        <v>29</v>
      </c>
      <c r="L51" s="69">
        <v>46447</v>
      </c>
      <c r="M51" s="70"/>
      <c r="N51" s="33">
        <f t="shared" si="0"/>
        <v>12500</v>
      </c>
      <c r="O51" s="34">
        <v>25000</v>
      </c>
      <c r="P51" s="33"/>
      <c r="Q51" s="33"/>
      <c r="R51" s="33">
        <f t="shared" si="5"/>
        <v>0</v>
      </c>
      <c r="S51" s="33"/>
      <c r="T51" s="33">
        <v>12</v>
      </c>
      <c r="U51" s="33">
        <f t="shared" si="6"/>
        <v>0</v>
      </c>
      <c r="V51" s="33">
        <f t="shared" si="7"/>
        <v>0</v>
      </c>
      <c r="W51" s="33">
        <f t="shared" si="4"/>
        <v>0</v>
      </c>
      <c r="X51" s="21"/>
      <c r="Y51" s="21"/>
      <c r="Z51" s="21"/>
    </row>
    <row r="52" ht="90" customHeight="1">
      <c r="A52" s="12">
        <v>50</v>
      </c>
      <c r="B52" s="67"/>
      <c r="C52" s="14"/>
      <c r="D52" s="14" t="s">
        <v>28</v>
      </c>
      <c r="E52" s="14"/>
      <c r="F52" s="14"/>
      <c r="G52" s="14"/>
      <c r="H52" s="14"/>
      <c r="I52" s="14"/>
      <c r="J52" s="14"/>
      <c r="K52" s="68" t="s">
        <v>29</v>
      </c>
      <c r="L52" s="69">
        <v>46478</v>
      </c>
      <c r="M52" s="70"/>
      <c r="N52" s="33">
        <f t="shared" si="0"/>
        <v>12500</v>
      </c>
      <c r="O52" s="34">
        <v>25000</v>
      </c>
      <c r="P52" s="33"/>
      <c r="Q52" s="33"/>
      <c r="R52" s="33">
        <f t="shared" si="5"/>
        <v>0</v>
      </c>
      <c r="S52" s="33"/>
      <c r="T52" s="33">
        <v>13</v>
      </c>
      <c r="U52" s="33">
        <f t="shared" si="6"/>
        <v>0</v>
      </c>
      <c r="V52" s="33">
        <f t="shared" si="7"/>
        <v>0</v>
      </c>
      <c r="W52" s="33">
        <f t="shared" si="4"/>
        <v>0</v>
      </c>
      <c r="X52" s="21"/>
      <c r="Y52" s="21"/>
      <c r="Z52" s="21"/>
    </row>
    <row r="53" ht="90" customHeight="1">
      <c r="A53" s="12">
        <v>51</v>
      </c>
      <c r="B53" s="67"/>
      <c r="C53" s="14"/>
      <c r="D53" s="14" t="s">
        <v>28</v>
      </c>
      <c r="E53" s="14"/>
      <c r="F53" s="14"/>
      <c r="G53" s="14"/>
      <c r="H53" s="14"/>
      <c r="I53" s="14"/>
      <c r="J53" s="14"/>
      <c r="K53" s="68" t="s">
        <v>29</v>
      </c>
      <c r="L53" s="69">
        <v>46508</v>
      </c>
      <c r="M53" s="70"/>
      <c r="N53" s="33">
        <f t="shared" si="0"/>
        <v>12500</v>
      </c>
      <c r="O53" s="34">
        <v>25000</v>
      </c>
      <c r="P53" s="33"/>
      <c r="Q53" s="33"/>
      <c r="R53" s="33">
        <f t="shared" si="5"/>
        <v>0</v>
      </c>
      <c r="S53" s="33"/>
      <c r="T53" s="33">
        <v>14</v>
      </c>
      <c r="U53" s="33">
        <f t="shared" si="6"/>
        <v>0</v>
      </c>
      <c r="V53" s="33">
        <f t="shared" si="7"/>
        <v>0</v>
      </c>
      <c r="W53" s="33">
        <f t="shared" si="4"/>
        <v>0</v>
      </c>
      <c r="X53" s="21"/>
      <c r="Y53" s="21"/>
      <c r="Z53" s="21"/>
    </row>
    <row r="54" ht="90" customHeight="1">
      <c r="A54" s="12">
        <v>52</v>
      </c>
      <c r="B54" s="67"/>
      <c r="C54" s="14"/>
      <c r="D54" s="14" t="s">
        <v>28</v>
      </c>
      <c r="E54" s="14"/>
      <c r="F54" s="14"/>
      <c r="G54" s="14"/>
      <c r="H54" s="14"/>
      <c r="I54" s="14"/>
      <c r="J54" s="14"/>
      <c r="K54" s="68" t="s">
        <v>29</v>
      </c>
      <c r="L54" s="69">
        <v>46539</v>
      </c>
      <c r="M54" s="70"/>
      <c r="N54" s="33">
        <f t="shared" si="0"/>
        <v>12500</v>
      </c>
      <c r="O54" s="34">
        <v>25000</v>
      </c>
      <c r="P54" s="33"/>
      <c r="Q54" s="33"/>
      <c r="R54" s="33">
        <f t="shared" si="5"/>
        <v>0</v>
      </c>
      <c r="S54" s="33"/>
      <c r="T54" s="33">
        <v>15</v>
      </c>
      <c r="U54" s="33">
        <f t="shared" si="6"/>
        <v>0</v>
      </c>
      <c r="V54" s="33">
        <f t="shared" si="7"/>
        <v>0</v>
      </c>
      <c r="W54" s="33">
        <f t="shared" si="4"/>
        <v>0</v>
      </c>
      <c r="X54" s="21"/>
      <c r="Y54" s="21"/>
      <c r="Z54" s="21"/>
    </row>
    <row r="55" ht="90" customHeight="1">
      <c r="A55" s="12">
        <v>53</v>
      </c>
      <c r="B55" s="67"/>
      <c r="C55" s="14"/>
      <c r="D55" s="14" t="s">
        <v>28</v>
      </c>
      <c r="E55" s="14"/>
      <c r="F55" s="14"/>
      <c r="G55" s="14"/>
      <c r="H55" s="14"/>
      <c r="I55" s="14"/>
      <c r="J55" s="14"/>
      <c r="K55" s="68" t="s">
        <v>29</v>
      </c>
      <c r="L55" s="69">
        <v>46569</v>
      </c>
      <c r="M55" s="70"/>
      <c r="N55" s="33">
        <f t="shared" si="0"/>
        <v>12500</v>
      </c>
      <c r="O55" s="34">
        <v>25000</v>
      </c>
      <c r="P55" s="33"/>
      <c r="Q55" s="33"/>
      <c r="R55" s="33">
        <f t="shared" si="5"/>
        <v>0</v>
      </c>
      <c r="S55" s="33"/>
      <c r="T55" s="33">
        <v>16</v>
      </c>
      <c r="U55" s="33">
        <f t="shared" si="6"/>
        <v>0</v>
      </c>
      <c r="V55" s="33">
        <f t="shared" si="7"/>
        <v>0</v>
      </c>
      <c r="W55" s="33">
        <f t="shared" si="4"/>
        <v>0</v>
      </c>
      <c r="X55" s="21"/>
      <c r="Y55" s="21"/>
      <c r="Z55" s="21"/>
    </row>
    <row r="56" ht="90" customHeight="1">
      <c r="A56" s="12">
        <v>54</v>
      </c>
      <c r="B56" s="67"/>
      <c r="C56" s="14"/>
      <c r="D56" s="14" t="s">
        <v>28</v>
      </c>
      <c r="E56" s="14"/>
      <c r="F56" s="14"/>
      <c r="G56" s="14"/>
      <c r="H56" s="14"/>
      <c r="I56" s="14"/>
      <c r="J56" s="14"/>
      <c r="K56" s="68" t="s">
        <v>29</v>
      </c>
      <c r="L56" s="69">
        <v>46600</v>
      </c>
      <c r="M56" s="70"/>
      <c r="N56" s="33">
        <f t="shared" si="0"/>
        <v>12500</v>
      </c>
      <c r="O56" s="34">
        <v>25000</v>
      </c>
      <c r="P56" s="33"/>
      <c r="Q56" s="33"/>
      <c r="R56" s="33">
        <f t="shared" si="5"/>
        <v>0</v>
      </c>
      <c r="S56" s="33"/>
      <c r="T56" s="33">
        <v>17</v>
      </c>
      <c r="U56" s="33">
        <f t="shared" si="6"/>
        <v>0</v>
      </c>
      <c r="V56" s="33">
        <f t="shared" si="7"/>
        <v>0</v>
      </c>
      <c r="W56" s="33">
        <f t="shared" si="4"/>
        <v>0</v>
      </c>
      <c r="X56" s="21"/>
      <c r="Y56" s="21"/>
      <c r="Z56" s="21"/>
    </row>
    <row r="57" ht="90" customHeight="1">
      <c r="A57" s="12">
        <v>55</v>
      </c>
      <c r="B57" s="67"/>
      <c r="C57" s="14"/>
      <c r="D57" s="14" t="s">
        <v>28</v>
      </c>
      <c r="E57" s="14"/>
      <c r="F57" s="14"/>
      <c r="G57" s="14"/>
      <c r="H57" s="14"/>
      <c r="I57" s="14"/>
      <c r="J57" s="14"/>
      <c r="K57" s="68" t="s">
        <v>29</v>
      </c>
      <c r="L57" s="69">
        <v>46631</v>
      </c>
      <c r="M57" s="70"/>
      <c r="N57" s="33">
        <f t="shared" si="0"/>
        <v>12500</v>
      </c>
      <c r="O57" s="34">
        <v>25000</v>
      </c>
      <c r="P57" s="33"/>
      <c r="Q57" s="33"/>
      <c r="R57" s="33">
        <f t="shared" si="5"/>
        <v>0</v>
      </c>
      <c r="S57" s="33"/>
      <c r="T57" s="33">
        <v>18</v>
      </c>
      <c r="U57" s="33">
        <f t="shared" si="6"/>
        <v>0</v>
      </c>
      <c r="V57" s="33">
        <f t="shared" si="7"/>
        <v>0</v>
      </c>
      <c r="W57" s="33">
        <f t="shared" si="4"/>
        <v>0</v>
      </c>
      <c r="X57" s="21"/>
      <c r="Y57" s="21"/>
      <c r="Z57" s="21"/>
    </row>
    <row r="58" ht="90" customHeight="1">
      <c r="A58" s="12">
        <v>56</v>
      </c>
      <c r="B58" s="67"/>
      <c r="C58" s="14"/>
      <c r="D58" s="14" t="s">
        <v>28</v>
      </c>
      <c r="E58" s="14"/>
      <c r="F58" s="14"/>
      <c r="G58" s="14"/>
      <c r="H58" s="14"/>
      <c r="I58" s="14"/>
      <c r="J58" s="14"/>
      <c r="K58" s="68" t="s">
        <v>29</v>
      </c>
      <c r="L58" s="69">
        <v>46661</v>
      </c>
      <c r="M58" s="70"/>
      <c r="N58" s="33">
        <f t="shared" si="0"/>
        <v>12500</v>
      </c>
      <c r="O58" s="34">
        <v>25000</v>
      </c>
      <c r="P58" s="33"/>
      <c r="Q58" s="33"/>
      <c r="R58" s="33">
        <f t="shared" si="5"/>
        <v>0</v>
      </c>
      <c r="S58" s="33"/>
      <c r="T58" s="33">
        <v>19</v>
      </c>
      <c r="U58" s="33">
        <f t="shared" si="6"/>
        <v>0</v>
      </c>
      <c r="V58" s="33">
        <f t="shared" si="7"/>
        <v>0</v>
      </c>
      <c r="W58" s="33">
        <f t="shared" si="4"/>
        <v>0</v>
      </c>
      <c r="X58" s="21"/>
      <c r="Y58" s="21"/>
      <c r="Z58" s="21"/>
    </row>
    <row r="59" ht="90" customHeight="1">
      <c r="A59" s="12">
        <v>57</v>
      </c>
      <c r="B59" s="67"/>
      <c r="C59" s="14"/>
      <c r="D59" s="14" t="s">
        <v>28</v>
      </c>
      <c r="E59" s="14"/>
      <c r="F59" s="14"/>
      <c r="G59" s="14"/>
      <c r="H59" s="14"/>
      <c r="I59" s="14"/>
      <c r="J59" s="14"/>
      <c r="K59" s="68" t="s">
        <v>29</v>
      </c>
      <c r="L59" s="69">
        <v>46692</v>
      </c>
      <c r="M59" s="70"/>
      <c r="N59" s="33">
        <f t="shared" si="0"/>
        <v>12500</v>
      </c>
      <c r="O59" s="34">
        <v>25000</v>
      </c>
      <c r="P59" s="33"/>
      <c r="Q59" s="33"/>
      <c r="R59" s="33">
        <f t="shared" si="5"/>
        <v>0</v>
      </c>
      <c r="S59" s="33"/>
      <c r="T59" s="33">
        <v>20</v>
      </c>
      <c r="U59" s="33">
        <f t="shared" si="6"/>
        <v>0</v>
      </c>
      <c r="V59" s="33">
        <f t="shared" si="7"/>
        <v>0</v>
      </c>
      <c r="W59" s="33">
        <f t="shared" si="4"/>
        <v>0</v>
      </c>
      <c r="X59" s="21"/>
      <c r="Y59" s="21"/>
      <c r="Z59" s="21"/>
    </row>
    <row r="60" ht="90" customHeight="1">
      <c r="A60" s="12">
        <v>58</v>
      </c>
      <c r="B60" s="67"/>
      <c r="C60" s="14"/>
      <c r="D60" s="14" t="s">
        <v>28</v>
      </c>
      <c r="E60" s="14"/>
      <c r="F60" s="14"/>
      <c r="G60" s="14"/>
      <c r="H60" s="14"/>
      <c r="I60" s="14"/>
      <c r="J60" s="14"/>
      <c r="K60" s="68" t="s">
        <v>29</v>
      </c>
      <c r="L60" s="69">
        <v>46722</v>
      </c>
      <c r="M60" s="70"/>
      <c r="N60" s="33">
        <f t="shared" si="0"/>
        <v>12500</v>
      </c>
      <c r="O60" s="34">
        <v>25000</v>
      </c>
      <c r="P60" s="33"/>
      <c r="Q60" s="33"/>
      <c r="R60" s="33">
        <f t="shared" si="5"/>
        <v>0</v>
      </c>
      <c r="S60" s="33"/>
      <c r="T60" s="33">
        <v>21</v>
      </c>
      <c r="U60" s="33">
        <f t="shared" si="6"/>
        <v>0</v>
      </c>
      <c r="V60" s="33">
        <f t="shared" si="7"/>
        <v>0</v>
      </c>
      <c r="W60" s="33">
        <f t="shared" si="4"/>
        <v>0</v>
      </c>
      <c r="X60" s="21"/>
      <c r="Y60" s="21"/>
      <c r="Z60" s="21"/>
    </row>
    <row r="61" ht="90" customHeight="1">
      <c r="A61" s="12">
        <v>59</v>
      </c>
      <c r="B61" s="67"/>
      <c r="C61" s="14"/>
      <c r="D61" s="14" t="s">
        <v>28</v>
      </c>
      <c r="E61" s="14"/>
      <c r="F61" s="14"/>
      <c r="G61" s="14"/>
      <c r="H61" s="14"/>
      <c r="I61" s="14"/>
      <c r="J61" s="14"/>
      <c r="K61" s="68" t="s">
        <v>29</v>
      </c>
      <c r="L61" s="69">
        <v>46753</v>
      </c>
      <c r="M61" s="70"/>
      <c r="N61" s="33">
        <f t="shared" si="0"/>
        <v>12500</v>
      </c>
      <c r="O61" s="34">
        <v>25000</v>
      </c>
      <c r="P61" s="33"/>
      <c r="Q61" s="33"/>
      <c r="R61" s="33">
        <f t="shared" si="5"/>
        <v>0</v>
      </c>
      <c r="S61" s="33"/>
      <c r="T61" s="33">
        <v>22</v>
      </c>
      <c r="U61" s="33">
        <f t="shared" si="6"/>
        <v>0</v>
      </c>
      <c r="V61" s="33">
        <f t="shared" si="7"/>
        <v>0</v>
      </c>
      <c r="W61" s="33">
        <f t="shared" si="4"/>
        <v>0</v>
      </c>
      <c r="X61" s="21"/>
      <c r="Y61" s="21"/>
      <c r="Z61" s="21"/>
    </row>
    <row r="62" ht="90" customHeight="1">
      <c r="A62" s="12">
        <v>60</v>
      </c>
      <c r="B62" s="67"/>
      <c r="C62" s="14"/>
      <c r="D62" s="14" t="s">
        <v>28</v>
      </c>
      <c r="E62" s="14"/>
      <c r="F62" s="14"/>
      <c r="G62" s="14"/>
      <c r="H62" s="14"/>
      <c r="I62" s="14"/>
      <c r="J62" s="14"/>
      <c r="K62" s="68" t="s">
        <v>29</v>
      </c>
      <c r="L62" s="69">
        <v>46784</v>
      </c>
      <c r="M62" s="70"/>
      <c r="N62" s="33">
        <f t="shared" si="0"/>
        <v>12500</v>
      </c>
      <c r="O62" s="34">
        <v>25000</v>
      </c>
      <c r="P62" s="33"/>
      <c r="Q62" s="33"/>
      <c r="R62" s="33">
        <f t="shared" si="5"/>
        <v>0</v>
      </c>
      <c r="S62" s="33"/>
      <c r="T62" s="33">
        <v>23</v>
      </c>
      <c r="U62" s="33">
        <f t="shared" si="6"/>
        <v>0</v>
      </c>
      <c r="V62" s="33">
        <f t="shared" si="7"/>
        <v>0</v>
      </c>
      <c r="W62" s="33">
        <f t="shared" si="4"/>
        <v>0</v>
      </c>
      <c r="X62" s="21"/>
      <c r="Y62" s="21"/>
      <c r="Z62" s="21"/>
    </row>
    <row r="63" ht="90" customHeight="1">
      <c r="A63" s="68">
        <v>1</v>
      </c>
      <c r="B63" s="67"/>
      <c r="C63" s="14"/>
      <c r="D63" s="14" t="s">
        <v>28</v>
      </c>
      <c r="E63" s="14"/>
      <c r="F63" s="14"/>
      <c r="G63" s="14"/>
      <c r="H63" s="14"/>
      <c r="I63" s="14"/>
      <c r="J63" s="14"/>
      <c r="K63" s="68" t="s">
        <v>29</v>
      </c>
      <c r="L63" s="69">
        <v>46113</v>
      </c>
      <c r="M63" s="70"/>
      <c r="N63" s="33">
        <f t="shared" si="0"/>
        <v>12500</v>
      </c>
      <c r="O63" s="34">
        <v>25000</v>
      </c>
      <c r="P63" s="33"/>
      <c r="Q63" s="33"/>
      <c r="R63" s="33">
        <f t="shared" si="5"/>
        <v>0</v>
      </c>
      <c r="S63" s="33"/>
      <c r="T63" s="33">
        <v>1</v>
      </c>
      <c r="U63" s="33">
        <f t="shared" si="6"/>
        <v>0</v>
      </c>
      <c r="V63" s="33">
        <f t="shared" si="7"/>
        <v>0</v>
      </c>
      <c r="W63" s="33">
        <f t="shared" si="4"/>
        <v>0</v>
      </c>
      <c r="X63" s="21"/>
      <c r="Y63" s="21"/>
      <c r="Z63" s="21"/>
    </row>
    <row r="64" ht="15.5">
      <c r="A64" s="68">
        <v>2</v>
      </c>
      <c r="B64" s="73"/>
      <c r="C64" s="14"/>
      <c r="D64" s="14"/>
      <c r="E64" s="14"/>
      <c r="F64" s="14"/>
      <c r="G64" s="14"/>
      <c r="H64" s="14"/>
      <c r="I64" s="14"/>
      <c r="J64" s="14"/>
      <c r="K64" s="68" t="s">
        <v>29</v>
      </c>
      <c r="L64" s="69"/>
      <c r="M64" s="70"/>
      <c r="N64" s="33">
        <f t="shared" si="0"/>
        <v>12500</v>
      </c>
      <c r="O64" s="34">
        <v>25000</v>
      </c>
      <c r="P64" s="33"/>
      <c r="Q64" s="33"/>
      <c r="R64" s="33">
        <f t="shared" si="5"/>
        <v>0</v>
      </c>
      <c r="S64" s="33"/>
      <c r="T64" s="33">
        <v>1</v>
      </c>
      <c r="U64" s="33">
        <f t="shared" si="6"/>
        <v>0</v>
      </c>
      <c r="V64" s="33">
        <f t="shared" si="7"/>
        <v>0</v>
      </c>
      <c r="W64" s="33">
        <f t="shared" si="4"/>
        <v>0</v>
      </c>
      <c r="X64" s="21"/>
      <c r="Y64" s="21"/>
      <c r="Z64" s="21"/>
    </row>
    <row r="65" ht="20">
      <c r="A65" s="50" t="s">
        <v>62</v>
      </c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74"/>
      <c r="N65" s="52"/>
      <c r="O65" s="52"/>
      <c r="P65" s="52"/>
      <c r="Q65" s="75">
        <f>SUM(Q63:Q64)</f>
        <v>0</v>
      </c>
      <c r="R65" s="52"/>
      <c r="S65" s="53"/>
      <c r="T65" s="76"/>
      <c r="U65" s="53" t="s">
        <v>63</v>
      </c>
      <c r="V65" s="53" t="s">
        <v>64</v>
      </c>
      <c r="W65" s="53" t="s">
        <v>65</v>
      </c>
      <c r="X65" s="51"/>
      <c r="Y65" s="51"/>
      <c r="Z65" s="51"/>
    </row>
    <row r="66">
      <c r="A66" s="55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77"/>
      <c r="N66" s="57"/>
      <c r="O66" s="57"/>
      <c r="P66" s="57"/>
      <c r="Q66" s="57"/>
      <c r="R66" s="57"/>
      <c r="S66" s="58"/>
      <c r="T66" s="57"/>
      <c r="U66" s="59">
        <f>SUM(U3:U64)</f>
        <v>16237500</v>
      </c>
      <c r="V66" s="59">
        <f>SUM(V3:V64)</f>
        <v>6200000</v>
      </c>
      <c r="W66" s="59">
        <f>SUM(W3:W64)</f>
        <v>22437500</v>
      </c>
      <c r="X66" s="61"/>
      <c r="Y66" s="61"/>
      <c r="Z66" s="61"/>
    </row>
  </sheetData>
  <mergeCells count="2">
    <mergeCell ref="A1:Z1"/>
    <mergeCell ref="A65:L66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100" fitToWidth="1" fitToHeight="1" pageOrder="downThenOver" orientation="portrait" usePrinterDefaults="1" blackAndWhite="0" draft="0" cellComments="none" useFirstPageNumber="0" errors="displayed" horizontalDpi="0" verticalDpi="0" copies="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1" zoomScale="100" workbookViewId="0">
      <pane ySplit="1" topLeftCell="A2" activePane="bottomLeft" state="frozen"/>
      <selection activeCell="I63" activeCellId="0" sqref="I63"/>
    </sheetView>
  </sheetViews>
  <sheetFormatPr defaultRowHeight="14.25"/>
  <cols>
    <col bestFit="1" customWidth="1" min="1" max="1" width="3.54296875"/>
    <col customWidth="1" min="2" max="2" style="78" width="22.36328125"/>
    <col customWidth="1" min="3" max="3" width="8.7265625"/>
    <col customWidth="1" min="4" max="4" style="2" width="6.7265625"/>
    <col customWidth="1" min="5" max="5" style="2" width="9.6328125"/>
    <col customWidth="1" min="6" max="6" width="21.90625"/>
    <col customWidth="1" min="7" max="7" width="16.26953125"/>
    <col customWidth="1" min="8" max="8" style="79" width="17.81640625"/>
    <col bestFit="1" customWidth="1" min="9" max="9" style="2" width="15.54296875"/>
    <col customWidth="1" min="10" max="10" width="13.36328125"/>
  </cols>
  <sheetData>
    <row r="1">
      <c r="A1" s="80" t="s">
        <v>1</v>
      </c>
      <c r="B1" s="81" t="s">
        <v>66</v>
      </c>
      <c r="C1" s="82" t="s">
        <v>67</v>
      </c>
      <c r="D1" s="83" t="s">
        <v>68</v>
      </c>
      <c r="E1" s="83" t="s">
        <v>69</v>
      </c>
      <c r="F1" s="84" t="s">
        <v>70</v>
      </c>
    </row>
    <row r="2">
      <c r="A2" s="85">
        <v>1</v>
      </c>
      <c r="B2" s="86" t="s">
        <v>71</v>
      </c>
      <c r="C2" s="87" t="s">
        <v>29</v>
      </c>
      <c r="D2" s="30">
        <v>48</v>
      </c>
      <c r="E2" s="30">
        <v>16</v>
      </c>
      <c r="F2" s="88" t="s">
        <v>72</v>
      </c>
      <c r="G2">
        <f>D2*25000</f>
        <v>1200000</v>
      </c>
      <c r="H2">
        <f t="shared" ref="H2:H59" si="8">E2*25000</f>
        <v>400000</v>
      </c>
      <c r="I2" s="2">
        <f t="shared" ref="I2:I59" si="9">H2+G2</f>
        <v>1600000</v>
      </c>
      <c r="J2" s="89" t="s">
        <v>73</v>
      </c>
      <c r="K2" s="90">
        <v>1600000</v>
      </c>
    </row>
    <row r="3">
      <c r="A3" s="85">
        <v>2</v>
      </c>
      <c r="B3" s="86" t="s">
        <v>74</v>
      </c>
      <c r="C3" s="87" t="s">
        <v>29</v>
      </c>
      <c r="D3" s="30">
        <v>48</v>
      </c>
      <c r="E3" s="30">
        <v>14</v>
      </c>
      <c r="F3" s="88" t="s">
        <v>72</v>
      </c>
      <c r="G3">
        <f t="shared" ref="G3:G59" si="10">D3*12500</f>
        <v>600000</v>
      </c>
      <c r="H3">
        <f t="shared" si="8"/>
        <v>350000</v>
      </c>
      <c r="I3" s="2">
        <f t="shared" si="9"/>
        <v>950000</v>
      </c>
      <c r="J3" s="89" t="s">
        <v>75</v>
      </c>
      <c r="K3" s="90">
        <v>950000</v>
      </c>
    </row>
    <row r="4">
      <c r="A4" s="91">
        <v>3</v>
      </c>
      <c r="B4" s="92" t="s">
        <v>76</v>
      </c>
      <c r="C4" s="23" t="s">
        <v>29</v>
      </c>
      <c r="D4" s="93">
        <v>40</v>
      </c>
      <c r="E4" s="93">
        <v>15</v>
      </c>
      <c r="F4" s="88" t="s">
        <v>72</v>
      </c>
      <c r="G4">
        <f t="shared" si="10"/>
        <v>500000</v>
      </c>
      <c r="H4">
        <f t="shared" si="8"/>
        <v>375000</v>
      </c>
      <c r="I4" s="2">
        <f t="shared" si="9"/>
        <v>875000</v>
      </c>
      <c r="J4" s="89" t="s">
        <v>76</v>
      </c>
      <c r="K4" s="90">
        <v>875000</v>
      </c>
    </row>
    <row r="5">
      <c r="A5" s="91">
        <v>4</v>
      </c>
      <c r="B5" s="92" t="s">
        <v>77</v>
      </c>
      <c r="C5" s="23" t="s">
        <v>29</v>
      </c>
      <c r="D5" s="93">
        <v>40</v>
      </c>
      <c r="E5" s="93">
        <v>15</v>
      </c>
      <c r="F5" s="88" t="s">
        <v>72</v>
      </c>
      <c r="G5">
        <f t="shared" si="10"/>
        <v>500000</v>
      </c>
      <c r="H5">
        <f t="shared" si="8"/>
        <v>375000</v>
      </c>
      <c r="I5" s="2">
        <f t="shared" si="9"/>
        <v>875000</v>
      </c>
      <c r="J5" s="89" t="s">
        <v>77</v>
      </c>
      <c r="K5" s="90">
        <v>875000</v>
      </c>
    </row>
    <row r="6">
      <c r="A6" s="91">
        <v>5</v>
      </c>
      <c r="B6" s="92" t="s">
        <v>78</v>
      </c>
      <c r="C6" s="23" t="s">
        <v>79</v>
      </c>
      <c r="D6" s="93">
        <v>40</v>
      </c>
      <c r="E6" s="93"/>
      <c r="F6" s="88" t="s">
        <v>72</v>
      </c>
      <c r="G6">
        <f>D6*21875</f>
        <v>875000</v>
      </c>
      <c r="H6">
        <f t="shared" si="8"/>
        <v>0</v>
      </c>
      <c r="I6" s="2">
        <f t="shared" si="9"/>
        <v>875000</v>
      </c>
      <c r="J6" s="89" t="s">
        <v>78</v>
      </c>
      <c r="K6" s="90">
        <v>875000</v>
      </c>
    </row>
    <row r="7">
      <c r="A7" s="91">
        <v>6</v>
      </c>
      <c r="B7" s="92" t="s">
        <v>80</v>
      </c>
      <c r="C7" s="23" t="s">
        <v>29</v>
      </c>
      <c r="D7" s="93">
        <v>40</v>
      </c>
      <c r="E7" s="93">
        <v>5</v>
      </c>
      <c r="F7" s="88" t="s">
        <v>72</v>
      </c>
      <c r="G7">
        <f t="shared" si="10"/>
        <v>500000</v>
      </c>
      <c r="H7">
        <f t="shared" si="8"/>
        <v>125000</v>
      </c>
      <c r="I7" s="2">
        <f t="shared" si="9"/>
        <v>625000</v>
      </c>
      <c r="J7" s="89" t="s">
        <v>80</v>
      </c>
      <c r="K7" s="90">
        <v>625000</v>
      </c>
    </row>
    <row r="8">
      <c r="A8" s="91">
        <v>7</v>
      </c>
      <c r="B8" s="92" t="s">
        <v>81</v>
      </c>
      <c r="C8" s="23" t="s">
        <v>29</v>
      </c>
      <c r="D8" s="93">
        <v>48</v>
      </c>
      <c r="E8" s="93">
        <v>18</v>
      </c>
      <c r="F8" s="88" t="s">
        <v>72</v>
      </c>
      <c r="G8">
        <f t="shared" si="10"/>
        <v>600000</v>
      </c>
      <c r="H8">
        <f t="shared" si="8"/>
        <v>450000</v>
      </c>
      <c r="I8" s="2">
        <f t="shared" si="9"/>
        <v>1050000</v>
      </c>
      <c r="J8" s="89" t="s">
        <v>81</v>
      </c>
      <c r="K8" s="90">
        <v>1050000</v>
      </c>
    </row>
    <row r="9">
      <c r="A9" s="91">
        <v>8</v>
      </c>
      <c r="B9" s="92" t="s">
        <v>82</v>
      </c>
      <c r="C9" s="23" t="s">
        <v>29</v>
      </c>
      <c r="D9" s="93">
        <v>16</v>
      </c>
      <c r="E9" s="93">
        <v>2</v>
      </c>
      <c r="F9" s="88" t="s">
        <v>72</v>
      </c>
      <c r="G9">
        <f t="shared" si="10"/>
        <v>200000</v>
      </c>
      <c r="H9">
        <f t="shared" si="8"/>
        <v>50000</v>
      </c>
      <c r="I9" s="2">
        <f t="shared" si="9"/>
        <v>250000</v>
      </c>
      <c r="J9" s="89" t="s">
        <v>82</v>
      </c>
      <c r="K9" s="90">
        <v>250000</v>
      </c>
    </row>
    <row r="10">
      <c r="A10" s="91">
        <v>9</v>
      </c>
      <c r="B10" s="92" t="s">
        <v>83</v>
      </c>
      <c r="C10" s="23" t="s">
        <v>29</v>
      </c>
      <c r="D10" s="94">
        <v>46.5</v>
      </c>
      <c r="E10" s="93">
        <v>15</v>
      </c>
      <c r="F10" s="88" t="s">
        <v>72</v>
      </c>
      <c r="G10">
        <f t="shared" si="10"/>
        <v>581250</v>
      </c>
      <c r="H10">
        <f t="shared" si="8"/>
        <v>375000</v>
      </c>
      <c r="I10" s="2">
        <f t="shared" si="9"/>
        <v>956250</v>
      </c>
      <c r="J10" s="89" t="s">
        <v>83</v>
      </c>
      <c r="K10" s="90">
        <v>1000000</v>
      </c>
    </row>
    <row r="11">
      <c r="A11" s="91">
        <v>10</v>
      </c>
      <c r="B11" s="92" t="s">
        <v>84</v>
      </c>
      <c r="C11" s="23" t="s">
        <v>29</v>
      </c>
      <c r="D11" s="93">
        <v>48</v>
      </c>
      <c r="E11" s="93">
        <v>18</v>
      </c>
      <c r="F11" s="88" t="s">
        <v>72</v>
      </c>
      <c r="G11">
        <f t="shared" si="10"/>
        <v>600000</v>
      </c>
      <c r="H11">
        <f t="shared" si="8"/>
        <v>450000</v>
      </c>
      <c r="I11" s="2">
        <f t="shared" si="9"/>
        <v>1050000</v>
      </c>
      <c r="J11" s="89" t="s">
        <v>84</v>
      </c>
      <c r="K11" s="90">
        <v>1050000</v>
      </c>
    </row>
    <row r="12">
      <c r="A12" s="85">
        <v>11</v>
      </c>
      <c r="B12" s="86" t="s">
        <v>85</v>
      </c>
      <c r="C12" s="87" t="s">
        <v>29</v>
      </c>
      <c r="D12" s="30">
        <v>48</v>
      </c>
      <c r="E12" s="30">
        <v>14</v>
      </c>
      <c r="F12" s="88" t="s">
        <v>72</v>
      </c>
      <c r="G12">
        <f t="shared" si="10"/>
        <v>600000</v>
      </c>
      <c r="H12">
        <f t="shared" si="8"/>
        <v>350000</v>
      </c>
      <c r="I12" s="2">
        <f t="shared" si="9"/>
        <v>950000</v>
      </c>
      <c r="J12" s="89" t="s">
        <v>86</v>
      </c>
      <c r="K12" s="90">
        <v>950000</v>
      </c>
    </row>
    <row r="13">
      <c r="A13" s="91">
        <v>12</v>
      </c>
      <c r="B13" s="92" t="s">
        <v>87</v>
      </c>
      <c r="C13" s="23" t="s">
        <v>29</v>
      </c>
      <c r="D13" s="93">
        <v>24</v>
      </c>
      <c r="E13" s="93">
        <v>3</v>
      </c>
      <c r="F13" s="88" t="s">
        <v>72</v>
      </c>
      <c r="G13">
        <f t="shared" si="10"/>
        <v>300000</v>
      </c>
      <c r="H13">
        <f t="shared" si="8"/>
        <v>75000</v>
      </c>
      <c r="I13" s="2">
        <f t="shared" si="9"/>
        <v>375000</v>
      </c>
      <c r="J13" s="89" t="s">
        <v>87</v>
      </c>
      <c r="K13" s="90">
        <v>375000</v>
      </c>
    </row>
    <row r="14">
      <c r="A14" s="85">
        <v>13</v>
      </c>
      <c r="B14" s="86" t="s">
        <v>88</v>
      </c>
      <c r="C14" s="87" t="s">
        <v>29</v>
      </c>
      <c r="D14" s="30">
        <v>8</v>
      </c>
      <c r="E14" s="30">
        <v>3</v>
      </c>
      <c r="F14" s="88" t="s">
        <v>72</v>
      </c>
      <c r="G14">
        <f t="shared" si="10"/>
        <v>100000</v>
      </c>
      <c r="H14">
        <f t="shared" si="8"/>
        <v>75000</v>
      </c>
      <c r="I14" s="2">
        <f t="shared" si="9"/>
        <v>175000</v>
      </c>
      <c r="J14" s="89" t="s">
        <v>89</v>
      </c>
      <c r="K14" s="90">
        <v>175000</v>
      </c>
    </row>
    <row r="15">
      <c r="A15" s="91">
        <v>14</v>
      </c>
      <c r="B15" s="24" t="s">
        <v>90</v>
      </c>
      <c r="C15" s="23" t="s">
        <v>29</v>
      </c>
      <c r="D15" s="25">
        <v>48</v>
      </c>
      <c r="E15" s="25">
        <v>18</v>
      </c>
      <c r="F15" s="88" t="s">
        <v>72</v>
      </c>
      <c r="G15">
        <f t="shared" si="10"/>
        <v>600000</v>
      </c>
      <c r="H15">
        <f t="shared" si="8"/>
        <v>450000</v>
      </c>
      <c r="I15" s="2">
        <f t="shared" si="9"/>
        <v>1050000</v>
      </c>
      <c r="J15" s="95" t="s">
        <v>90</v>
      </c>
      <c r="K15" s="90">
        <v>1050000</v>
      </c>
    </row>
    <row r="16">
      <c r="A16" s="91">
        <v>15</v>
      </c>
      <c r="B16" s="24" t="s">
        <v>91</v>
      </c>
      <c r="C16" s="23" t="s">
        <v>29</v>
      </c>
      <c r="D16" s="25">
        <v>32</v>
      </c>
      <c r="E16" s="25">
        <v>12</v>
      </c>
      <c r="F16" s="88" t="s">
        <v>72</v>
      </c>
      <c r="G16">
        <f t="shared" si="10"/>
        <v>400000</v>
      </c>
      <c r="H16">
        <f t="shared" si="8"/>
        <v>300000</v>
      </c>
      <c r="I16" s="2">
        <f t="shared" si="9"/>
        <v>700000</v>
      </c>
      <c r="J16" s="95" t="s">
        <v>91</v>
      </c>
      <c r="K16" s="90">
        <v>700000</v>
      </c>
    </row>
    <row r="17">
      <c r="A17" s="91">
        <v>16</v>
      </c>
      <c r="B17" s="24" t="s">
        <v>92</v>
      </c>
      <c r="C17" s="23" t="s">
        <v>29</v>
      </c>
      <c r="D17" s="25">
        <v>40</v>
      </c>
      <c r="E17" s="25">
        <v>15</v>
      </c>
      <c r="F17" s="88" t="s">
        <v>72</v>
      </c>
      <c r="G17">
        <f t="shared" si="10"/>
        <v>500000</v>
      </c>
      <c r="H17">
        <f t="shared" si="8"/>
        <v>375000</v>
      </c>
      <c r="I17" s="2">
        <f t="shared" si="9"/>
        <v>875000</v>
      </c>
      <c r="J17" s="95" t="s">
        <v>92</v>
      </c>
      <c r="K17" s="90">
        <v>875000</v>
      </c>
    </row>
    <row r="18">
      <c r="A18" s="91">
        <v>17</v>
      </c>
      <c r="B18" s="24" t="s">
        <v>93</v>
      </c>
      <c r="C18" s="23" t="s">
        <v>29</v>
      </c>
      <c r="D18" s="25">
        <v>48</v>
      </c>
      <c r="E18" s="25">
        <v>16</v>
      </c>
      <c r="F18" s="88" t="s">
        <v>72</v>
      </c>
      <c r="G18">
        <f t="shared" si="10"/>
        <v>600000</v>
      </c>
      <c r="H18">
        <f t="shared" si="8"/>
        <v>400000</v>
      </c>
      <c r="I18" s="2">
        <f t="shared" si="9"/>
        <v>1000000</v>
      </c>
      <c r="J18" s="95" t="s">
        <v>93</v>
      </c>
      <c r="K18" s="90">
        <v>1000000</v>
      </c>
    </row>
    <row r="19">
      <c r="A19" s="91">
        <v>18</v>
      </c>
      <c r="B19" s="24" t="s">
        <v>94</v>
      </c>
      <c r="C19" s="23" t="s">
        <v>29</v>
      </c>
      <c r="D19" s="25">
        <v>48</v>
      </c>
      <c r="E19" s="25">
        <v>18</v>
      </c>
      <c r="F19" s="88" t="s">
        <v>72</v>
      </c>
      <c r="G19">
        <f t="shared" si="10"/>
        <v>600000</v>
      </c>
      <c r="H19">
        <f t="shared" si="8"/>
        <v>450000</v>
      </c>
      <c r="I19" s="2">
        <f t="shared" si="9"/>
        <v>1050000</v>
      </c>
      <c r="J19" s="95" t="s">
        <v>94</v>
      </c>
      <c r="K19" s="90">
        <v>1050000</v>
      </c>
    </row>
    <row r="20">
      <c r="A20" s="91">
        <v>19</v>
      </c>
      <c r="B20" s="24" t="s">
        <v>95</v>
      </c>
      <c r="C20" s="23" t="s">
        <v>29</v>
      </c>
      <c r="D20" s="25">
        <v>48</v>
      </c>
      <c r="E20" s="25">
        <v>18</v>
      </c>
      <c r="F20" s="88" t="s">
        <v>72</v>
      </c>
      <c r="G20">
        <f t="shared" si="10"/>
        <v>600000</v>
      </c>
      <c r="H20">
        <f t="shared" si="8"/>
        <v>450000</v>
      </c>
      <c r="I20" s="2">
        <f t="shared" si="9"/>
        <v>1050000</v>
      </c>
      <c r="J20" s="95" t="s">
        <v>95</v>
      </c>
      <c r="K20" s="90">
        <v>1050000</v>
      </c>
    </row>
    <row r="21">
      <c r="A21" s="91">
        <v>20</v>
      </c>
      <c r="B21" s="24" t="s">
        <v>96</v>
      </c>
      <c r="C21" s="23" t="s">
        <v>29</v>
      </c>
      <c r="D21" s="25">
        <v>45</v>
      </c>
      <c r="E21" s="25">
        <v>15</v>
      </c>
      <c r="F21" s="88" t="s">
        <v>72</v>
      </c>
      <c r="G21">
        <f t="shared" si="10"/>
        <v>562500</v>
      </c>
      <c r="H21">
        <f t="shared" si="8"/>
        <v>375000</v>
      </c>
      <c r="I21" s="2">
        <f t="shared" si="9"/>
        <v>937500</v>
      </c>
      <c r="J21" s="95" t="s">
        <v>96</v>
      </c>
      <c r="K21" s="90">
        <v>937500</v>
      </c>
    </row>
    <row r="22">
      <c r="A22" s="85">
        <v>21</v>
      </c>
      <c r="B22" s="96" t="s">
        <v>97</v>
      </c>
      <c r="C22" s="87" t="s">
        <v>29</v>
      </c>
      <c r="D22" s="30">
        <v>48</v>
      </c>
      <c r="E22" s="30">
        <v>14</v>
      </c>
      <c r="F22" s="88" t="s">
        <v>72</v>
      </c>
      <c r="G22">
        <f t="shared" si="10"/>
        <v>600000</v>
      </c>
      <c r="H22">
        <f t="shared" si="8"/>
        <v>350000</v>
      </c>
      <c r="I22" s="2">
        <f t="shared" si="9"/>
        <v>950000</v>
      </c>
      <c r="J22" s="95" t="s">
        <v>98</v>
      </c>
      <c r="K22" s="90">
        <v>950000</v>
      </c>
    </row>
    <row r="23">
      <c r="A23" s="85">
        <v>22</v>
      </c>
      <c r="B23" s="96" t="s">
        <v>99</v>
      </c>
      <c r="C23" s="87" t="s">
        <v>29</v>
      </c>
      <c r="D23" s="30">
        <v>48</v>
      </c>
      <c r="E23" s="30">
        <v>14</v>
      </c>
      <c r="F23" s="88" t="s">
        <v>72</v>
      </c>
      <c r="G23">
        <f t="shared" si="10"/>
        <v>600000</v>
      </c>
      <c r="H23">
        <f t="shared" si="8"/>
        <v>350000</v>
      </c>
      <c r="I23" s="2">
        <f t="shared" si="9"/>
        <v>950000</v>
      </c>
      <c r="J23" s="95" t="s">
        <v>100</v>
      </c>
      <c r="K23" s="90">
        <v>950000</v>
      </c>
    </row>
    <row r="24">
      <c r="A24" s="91">
        <v>23</v>
      </c>
      <c r="B24" s="97" t="s">
        <v>101</v>
      </c>
      <c r="C24" s="23" t="s">
        <v>29</v>
      </c>
      <c r="D24" s="25">
        <v>40</v>
      </c>
      <c r="E24" s="25">
        <v>15</v>
      </c>
      <c r="F24" s="88" t="s">
        <v>72</v>
      </c>
      <c r="G24">
        <f t="shared" si="10"/>
        <v>500000</v>
      </c>
      <c r="H24">
        <f t="shared" si="8"/>
        <v>375000</v>
      </c>
      <c r="I24" s="2">
        <f t="shared" si="9"/>
        <v>875000</v>
      </c>
      <c r="J24" s="98" t="s">
        <v>101</v>
      </c>
      <c r="K24" s="90">
        <v>875000</v>
      </c>
    </row>
    <row r="25">
      <c r="A25" s="85">
        <v>24</v>
      </c>
      <c r="B25" s="24" t="s">
        <v>102</v>
      </c>
      <c r="C25" s="23" t="s">
        <v>29</v>
      </c>
      <c r="D25" s="25">
        <v>48</v>
      </c>
      <c r="E25" s="25">
        <v>6</v>
      </c>
      <c r="F25" s="88" t="s">
        <v>72</v>
      </c>
      <c r="G25">
        <f t="shared" si="10"/>
        <v>600000</v>
      </c>
      <c r="H25">
        <f t="shared" si="8"/>
        <v>150000</v>
      </c>
      <c r="I25" s="2">
        <f t="shared" si="9"/>
        <v>750000</v>
      </c>
      <c r="J25" s="95" t="s">
        <v>102</v>
      </c>
      <c r="K25" s="90">
        <v>750000</v>
      </c>
    </row>
    <row r="26">
      <c r="A26" s="91">
        <v>25</v>
      </c>
      <c r="B26" s="24" t="s">
        <v>103</v>
      </c>
      <c r="C26" s="23" t="s">
        <v>29</v>
      </c>
      <c r="D26" s="25">
        <v>48</v>
      </c>
      <c r="E26" s="25">
        <v>18</v>
      </c>
      <c r="F26" s="88" t="s">
        <v>72</v>
      </c>
      <c r="G26">
        <f t="shared" si="10"/>
        <v>600000</v>
      </c>
      <c r="H26">
        <f t="shared" si="8"/>
        <v>450000</v>
      </c>
      <c r="I26" s="2">
        <f t="shared" si="9"/>
        <v>1050000</v>
      </c>
      <c r="J26" s="95" t="s">
        <v>103</v>
      </c>
      <c r="K26" s="90">
        <v>1050000</v>
      </c>
    </row>
    <row r="27">
      <c r="A27" s="85">
        <v>26</v>
      </c>
      <c r="B27" s="96" t="s">
        <v>104</v>
      </c>
      <c r="C27" s="87" t="s">
        <v>29</v>
      </c>
      <c r="D27" s="30">
        <v>40</v>
      </c>
      <c r="E27" s="30">
        <v>12</v>
      </c>
      <c r="F27" s="88" t="s">
        <v>72</v>
      </c>
      <c r="G27">
        <f t="shared" si="10"/>
        <v>500000</v>
      </c>
      <c r="H27">
        <f t="shared" si="8"/>
        <v>300000</v>
      </c>
      <c r="I27" s="2">
        <f t="shared" si="9"/>
        <v>800000</v>
      </c>
      <c r="J27" s="95" t="s">
        <v>105</v>
      </c>
      <c r="K27" s="90">
        <v>800000</v>
      </c>
    </row>
    <row r="28">
      <c r="A28" s="85">
        <v>27</v>
      </c>
      <c r="B28" s="96" t="s">
        <v>106</v>
      </c>
      <c r="C28" s="87" t="s">
        <v>29</v>
      </c>
      <c r="D28" s="30">
        <v>48</v>
      </c>
      <c r="E28" s="30">
        <v>14</v>
      </c>
      <c r="F28" s="88" t="s">
        <v>72</v>
      </c>
      <c r="G28">
        <f t="shared" si="10"/>
        <v>600000</v>
      </c>
      <c r="H28">
        <f t="shared" si="8"/>
        <v>350000</v>
      </c>
      <c r="I28" s="2">
        <f t="shared" si="9"/>
        <v>950000</v>
      </c>
      <c r="J28" s="95" t="s">
        <v>107</v>
      </c>
      <c r="K28" s="90">
        <v>950000</v>
      </c>
    </row>
    <row r="29">
      <c r="A29" s="91">
        <v>28</v>
      </c>
      <c r="B29" s="24" t="s">
        <v>108</v>
      </c>
      <c r="C29" s="23" t="s">
        <v>29</v>
      </c>
      <c r="D29" s="25">
        <v>48</v>
      </c>
      <c r="E29" s="25">
        <v>18</v>
      </c>
      <c r="F29" s="88" t="s">
        <v>72</v>
      </c>
      <c r="G29">
        <f t="shared" si="10"/>
        <v>600000</v>
      </c>
      <c r="H29">
        <f t="shared" si="8"/>
        <v>450000</v>
      </c>
      <c r="I29" s="2">
        <f t="shared" si="9"/>
        <v>1050000</v>
      </c>
      <c r="J29" s="95" t="s">
        <v>108</v>
      </c>
      <c r="K29" s="90">
        <v>1050000</v>
      </c>
    </row>
    <row r="30">
      <c r="A30" s="91">
        <v>29</v>
      </c>
      <c r="B30" s="24" t="s">
        <v>109</v>
      </c>
      <c r="C30" s="23" t="s">
        <v>29</v>
      </c>
      <c r="D30" s="25">
        <v>48</v>
      </c>
      <c r="E30" s="25">
        <v>18</v>
      </c>
      <c r="F30" s="88" t="s">
        <v>72</v>
      </c>
      <c r="G30">
        <f t="shared" si="10"/>
        <v>600000</v>
      </c>
      <c r="H30">
        <f t="shared" si="8"/>
        <v>450000</v>
      </c>
      <c r="I30" s="2">
        <f t="shared" si="9"/>
        <v>1050000</v>
      </c>
      <c r="J30" s="95" t="s">
        <v>109</v>
      </c>
      <c r="K30" s="90">
        <v>1050000</v>
      </c>
    </row>
    <row r="31">
      <c r="A31" s="85">
        <v>30</v>
      </c>
      <c r="B31" s="96" t="s">
        <v>110</v>
      </c>
      <c r="C31" s="87" t="s">
        <v>29</v>
      </c>
      <c r="D31" s="30">
        <v>48</v>
      </c>
      <c r="E31" s="30">
        <v>17</v>
      </c>
      <c r="F31" s="88" t="s">
        <v>72</v>
      </c>
      <c r="G31">
        <f t="shared" si="10"/>
        <v>600000</v>
      </c>
      <c r="H31">
        <f t="shared" si="8"/>
        <v>425000</v>
      </c>
      <c r="I31" s="2">
        <f t="shared" si="9"/>
        <v>1025000</v>
      </c>
      <c r="J31" s="95" t="s">
        <v>111</v>
      </c>
      <c r="K31" s="90">
        <v>1025000</v>
      </c>
    </row>
    <row r="32">
      <c r="A32" s="91">
        <v>31</v>
      </c>
      <c r="B32" s="24" t="s">
        <v>112</v>
      </c>
      <c r="C32" s="23" t="s">
        <v>29</v>
      </c>
      <c r="D32" s="25">
        <v>48</v>
      </c>
      <c r="E32" s="25">
        <v>18</v>
      </c>
      <c r="F32" s="88" t="s">
        <v>72</v>
      </c>
      <c r="G32">
        <f t="shared" si="10"/>
        <v>600000</v>
      </c>
      <c r="H32">
        <f t="shared" si="8"/>
        <v>450000</v>
      </c>
      <c r="I32" s="2">
        <f t="shared" si="9"/>
        <v>1050000</v>
      </c>
      <c r="J32" s="95" t="s">
        <v>112</v>
      </c>
      <c r="K32" s="90">
        <v>1050000</v>
      </c>
    </row>
    <row r="33">
      <c r="A33" s="85">
        <v>32</v>
      </c>
      <c r="B33" s="96" t="s">
        <v>113</v>
      </c>
      <c r="C33" s="87" t="s">
        <v>29</v>
      </c>
      <c r="D33" s="30">
        <v>40</v>
      </c>
      <c r="E33" s="30">
        <v>12</v>
      </c>
      <c r="F33" s="88" t="s">
        <v>72</v>
      </c>
      <c r="G33">
        <f t="shared" si="10"/>
        <v>500000</v>
      </c>
      <c r="H33">
        <f t="shared" si="8"/>
        <v>300000</v>
      </c>
      <c r="I33" s="2">
        <f t="shared" si="9"/>
        <v>800000</v>
      </c>
      <c r="J33" s="95" t="s">
        <v>114</v>
      </c>
      <c r="K33" s="90">
        <v>800000</v>
      </c>
    </row>
    <row r="34">
      <c r="A34" s="91">
        <v>33</v>
      </c>
      <c r="B34" s="24" t="s">
        <v>115</v>
      </c>
      <c r="C34" s="23" t="s">
        <v>29</v>
      </c>
      <c r="D34" s="25">
        <v>48</v>
      </c>
      <c r="E34" s="25">
        <v>18</v>
      </c>
      <c r="F34" s="88" t="s">
        <v>72</v>
      </c>
      <c r="G34">
        <f t="shared" si="10"/>
        <v>600000</v>
      </c>
      <c r="H34">
        <f t="shared" si="8"/>
        <v>450000</v>
      </c>
      <c r="I34" s="2">
        <f t="shared" si="9"/>
        <v>1050000</v>
      </c>
      <c r="J34" s="95" t="s">
        <v>115</v>
      </c>
      <c r="K34" s="90">
        <v>1050000</v>
      </c>
    </row>
    <row r="35">
      <c r="A35" s="91">
        <v>34</v>
      </c>
      <c r="B35" s="24" t="s">
        <v>116</v>
      </c>
      <c r="C35" s="23" t="s">
        <v>29</v>
      </c>
      <c r="D35" s="25">
        <v>40</v>
      </c>
      <c r="E35" s="25">
        <v>15</v>
      </c>
      <c r="F35" s="88" t="s">
        <v>72</v>
      </c>
      <c r="G35">
        <f t="shared" si="10"/>
        <v>500000</v>
      </c>
      <c r="H35">
        <f t="shared" si="8"/>
        <v>375000</v>
      </c>
      <c r="I35" s="2">
        <f t="shared" si="9"/>
        <v>875000</v>
      </c>
      <c r="J35" s="95" t="s">
        <v>116</v>
      </c>
      <c r="K35" s="90">
        <v>875000</v>
      </c>
    </row>
    <row r="36">
      <c r="A36" s="91">
        <v>35</v>
      </c>
      <c r="B36" s="24" t="s">
        <v>117</v>
      </c>
      <c r="C36" s="23" t="s">
        <v>29</v>
      </c>
      <c r="D36" s="25">
        <v>48</v>
      </c>
      <c r="E36" s="25">
        <v>18</v>
      </c>
      <c r="F36" s="88" t="s">
        <v>72</v>
      </c>
      <c r="G36">
        <f t="shared" si="10"/>
        <v>600000</v>
      </c>
      <c r="H36">
        <f t="shared" si="8"/>
        <v>450000</v>
      </c>
      <c r="I36" s="2">
        <f t="shared" si="9"/>
        <v>1050000</v>
      </c>
      <c r="J36" s="95" t="s">
        <v>117</v>
      </c>
      <c r="K36" s="90">
        <v>1050000</v>
      </c>
    </row>
    <row r="37">
      <c r="A37" s="91">
        <v>36</v>
      </c>
      <c r="B37" s="24" t="s">
        <v>118</v>
      </c>
      <c r="C37" s="23" t="s">
        <v>29</v>
      </c>
      <c r="D37" s="25">
        <v>48</v>
      </c>
      <c r="E37" s="25">
        <v>18</v>
      </c>
      <c r="F37" s="88" t="s">
        <v>72</v>
      </c>
      <c r="G37">
        <f t="shared" si="10"/>
        <v>600000</v>
      </c>
      <c r="H37">
        <f t="shared" si="8"/>
        <v>450000</v>
      </c>
      <c r="I37" s="2">
        <f t="shared" si="9"/>
        <v>1050000</v>
      </c>
      <c r="J37" s="95" t="s">
        <v>118</v>
      </c>
      <c r="K37" s="90">
        <v>1050000</v>
      </c>
    </row>
    <row r="38">
      <c r="A38" s="91">
        <v>37</v>
      </c>
      <c r="B38" s="24" t="s">
        <v>119</v>
      </c>
      <c r="C38" s="23" t="s">
        <v>29</v>
      </c>
      <c r="D38" s="25">
        <v>48</v>
      </c>
      <c r="E38" s="25">
        <v>18</v>
      </c>
      <c r="F38" s="88" t="s">
        <v>72</v>
      </c>
      <c r="G38">
        <f t="shared" si="10"/>
        <v>600000</v>
      </c>
      <c r="H38">
        <f t="shared" si="8"/>
        <v>450000</v>
      </c>
      <c r="I38" s="2">
        <f t="shared" si="9"/>
        <v>1050000</v>
      </c>
      <c r="J38" s="95" t="s">
        <v>119</v>
      </c>
      <c r="K38" s="90">
        <v>1050000</v>
      </c>
    </row>
    <row r="39">
      <c r="A39" s="91">
        <v>38</v>
      </c>
      <c r="B39" s="24" t="s">
        <v>120</v>
      </c>
      <c r="C39" s="23" t="s">
        <v>29</v>
      </c>
      <c r="D39" s="25">
        <v>32</v>
      </c>
      <c r="E39" s="25">
        <v>12</v>
      </c>
      <c r="F39" s="88" t="s">
        <v>72</v>
      </c>
      <c r="G39">
        <f t="shared" si="10"/>
        <v>400000</v>
      </c>
      <c r="H39">
        <f t="shared" si="8"/>
        <v>300000</v>
      </c>
      <c r="I39" s="2">
        <f t="shared" si="9"/>
        <v>700000</v>
      </c>
      <c r="J39" s="95" t="s">
        <v>120</v>
      </c>
      <c r="K39" s="90">
        <v>700000</v>
      </c>
    </row>
    <row r="40">
      <c r="A40" s="91">
        <v>39</v>
      </c>
      <c r="B40" s="24" t="s">
        <v>121</v>
      </c>
      <c r="C40" s="23" t="s">
        <v>29</v>
      </c>
      <c r="D40" s="25">
        <v>32</v>
      </c>
      <c r="E40" s="25">
        <v>12</v>
      </c>
      <c r="F40" s="88" t="s">
        <v>72</v>
      </c>
      <c r="G40">
        <f t="shared" si="10"/>
        <v>400000</v>
      </c>
      <c r="H40">
        <f t="shared" si="8"/>
        <v>300000</v>
      </c>
      <c r="I40" s="2">
        <f t="shared" si="9"/>
        <v>700000</v>
      </c>
      <c r="J40" s="95" t="s">
        <v>121</v>
      </c>
      <c r="K40" s="90">
        <v>700000</v>
      </c>
    </row>
    <row r="41">
      <c r="A41" s="91">
        <v>40</v>
      </c>
      <c r="B41" s="24" t="s">
        <v>122</v>
      </c>
      <c r="C41" s="23" t="s">
        <v>29</v>
      </c>
      <c r="D41" s="25">
        <v>40</v>
      </c>
      <c r="E41" s="25">
        <v>15</v>
      </c>
      <c r="F41" s="88" t="s">
        <v>72</v>
      </c>
      <c r="G41">
        <f t="shared" si="10"/>
        <v>500000</v>
      </c>
      <c r="H41">
        <f t="shared" si="8"/>
        <v>375000</v>
      </c>
      <c r="I41" s="2">
        <f t="shared" si="9"/>
        <v>875000</v>
      </c>
      <c r="J41" s="95" t="s">
        <v>122</v>
      </c>
      <c r="K41" s="90">
        <v>875000</v>
      </c>
    </row>
    <row r="42">
      <c r="A42" s="91">
        <v>41</v>
      </c>
      <c r="B42" s="24" t="s">
        <v>123</v>
      </c>
      <c r="C42" s="23" t="s">
        <v>29</v>
      </c>
      <c r="D42" s="25">
        <v>40</v>
      </c>
      <c r="E42" s="25">
        <v>15</v>
      </c>
      <c r="F42" s="88" t="s">
        <v>72</v>
      </c>
      <c r="G42">
        <f t="shared" si="10"/>
        <v>500000</v>
      </c>
      <c r="H42">
        <f t="shared" si="8"/>
        <v>375000</v>
      </c>
      <c r="I42" s="2">
        <f t="shared" si="9"/>
        <v>875000</v>
      </c>
      <c r="J42" s="95" t="s">
        <v>123</v>
      </c>
      <c r="K42" s="90">
        <v>875000</v>
      </c>
    </row>
    <row r="43">
      <c r="A43" s="85">
        <v>42</v>
      </c>
      <c r="B43" s="96" t="s">
        <v>124</v>
      </c>
      <c r="C43" s="87" t="s">
        <v>29</v>
      </c>
      <c r="D43" s="30">
        <v>48</v>
      </c>
      <c r="E43" s="30">
        <v>14</v>
      </c>
      <c r="F43" s="88" t="s">
        <v>72</v>
      </c>
      <c r="G43">
        <f t="shared" si="10"/>
        <v>600000</v>
      </c>
      <c r="H43">
        <f t="shared" si="8"/>
        <v>350000</v>
      </c>
      <c r="I43" s="2">
        <f t="shared" si="9"/>
        <v>950000</v>
      </c>
      <c r="J43" s="95" t="s">
        <v>125</v>
      </c>
      <c r="K43" s="90">
        <v>950000</v>
      </c>
    </row>
    <row r="44">
      <c r="A44" s="91">
        <v>43</v>
      </c>
      <c r="B44" s="24" t="s">
        <v>126</v>
      </c>
      <c r="C44" s="23" t="s">
        <v>29</v>
      </c>
      <c r="D44" s="25">
        <v>40</v>
      </c>
      <c r="E44" s="25">
        <v>15</v>
      </c>
      <c r="F44" s="88" t="s">
        <v>72</v>
      </c>
      <c r="G44">
        <f t="shared" si="10"/>
        <v>500000</v>
      </c>
      <c r="H44">
        <f t="shared" si="8"/>
        <v>375000</v>
      </c>
      <c r="I44" s="2">
        <f t="shared" si="9"/>
        <v>875000</v>
      </c>
      <c r="J44" s="95" t="s">
        <v>126</v>
      </c>
      <c r="K44" s="90">
        <v>875000</v>
      </c>
    </row>
    <row r="45">
      <c r="A45" s="91">
        <v>44</v>
      </c>
      <c r="B45" s="24" t="s">
        <v>127</v>
      </c>
      <c r="C45" s="23" t="s">
        <v>29</v>
      </c>
      <c r="D45" s="25">
        <v>32</v>
      </c>
      <c r="E45" s="25">
        <v>4</v>
      </c>
      <c r="F45" s="88" t="s">
        <v>72</v>
      </c>
      <c r="G45">
        <f t="shared" si="10"/>
        <v>400000</v>
      </c>
      <c r="H45">
        <f t="shared" si="8"/>
        <v>100000</v>
      </c>
      <c r="I45" s="2">
        <f t="shared" si="9"/>
        <v>500000</v>
      </c>
      <c r="J45" s="95" t="s">
        <v>127</v>
      </c>
      <c r="K45" s="90">
        <v>500000</v>
      </c>
    </row>
    <row r="46">
      <c r="A46" s="91">
        <v>45</v>
      </c>
      <c r="B46" s="99" t="s">
        <v>128</v>
      </c>
      <c r="C46" s="23" t="s">
        <v>29</v>
      </c>
      <c r="D46" s="25">
        <v>48</v>
      </c>
      <c r="E46" s="25">
        <v>18</v>
      </c>
      <c r="F46" s="88" t="s">
        <v>72</v>
      </c>
      <c r="G46">
        <f t="shared" si="10"/>
        <v>600000</v>
      </c>
      <c r="H46">
        <f t="shared" si="8"/>
        <v>450000</v>
      </c>
      <c r="I46" s="2">
        <f t="shared" si="9"/>
        <v>1050000</v>
      </c>
      <c r="J46" s="100" t="s">
        <v>128</v>
      </c>
      <c r="K46" s="90">
        <v>1050000</v>
      </c>
    </row>
    <row r="47">
      <c r="A47" s="91">
        <v>46</v>
      </c>
      <c r="B47" s="99" t="s">
        <v>129</v>
      </c>
      <c r="C47" s="23" t="s">
        <v>29</v>
      </c>
      <c r="D47" s="25">
        <v>32</v>
      </c>
      <c r="E47" s="25">
        <v>12</v>
      </c>
      <c r="F47" s="88" t="s">
        <v>72</v>
      </c>
      <c r="G47">
        <f t="shared" si="10"/>
        <v>400000</v>
      </c>
      <c r="H47">
        <f t="shared" si="8"/>
        <v>300000</v>
      </c>
      <c r="I47" s="2">
        <f t="shared" si="9"/>
        <v>700000</v>
      </c>
      <c r="J47" s="100" t="s">
        <v>129</v>
      </c>
      <c r="K47" s="90">
        <v>700000</v>
      </c>
    </row>
    <row r="48">
      <c r="A48" s="85">
        <v>47</v>
      </c>
      <c r="B48" s="101" t="s">
        <v>130</v>
      </c>
      <c r="C48" s="102" t="s">
        <v>29</v>
      </c>
      <c r="D48" s="103">
        <v>40</v>
      </c>
      <c r="E48" s="103">
        <v>14</v>
      </c>
      <c r="F48" s="88" t="s">
        <v>72</v>
      </c>
      <c r="G48">
        <f t="shared" si="10"/>
        <v>500000</v>
      </c>
      <c r="H48">
        <f t="shared" si="8"/>
        <v>350000</v>
      </c>
      <c r="I48" s="2">
        <f t="shared" si="9"/>
        <v>850000</v>
      </c>
      <c r="J48" s="98" t="s">
        <v>131</v>
      </c>
      <c r="K48" s="90">
        <v>850000</v>
      </c>
    </row>
    <row r="49">
      <c r="A49" s="85">
        <v>48</v>
      </c>
      <c r="B49" s="96" t="s">
        <v>132</v>
      </c>
      <c r="C49" s="102" t="s">
        <v>29</v>
      </c>
      <c r="D49" s="96">
        <v>48</v>
      </c>
      <c r="E49" s="96">
        <v>14</v>
      </c>
      <c r="F49" s="88" t="s">
        <v>72</v>
      </c>
      <c r="G49">
        <f t="shared" si="10"/>
        <v>600000</v>
      </c>
      <c r="H49">
        <f t="shared" si="8"/>
        <v>350000</v>
      </c>
      <c r="I49" s="2">
        <f t="shared" si="9"/>
        <v>950000</v>
      </c>
      <c r="J49" s="95" t="s">
        <v>133</v>
      </c>
      <c r="K49" s="90">
        <v>950000</v>
      </c>
    </row>
    <row r="50">
      <c r="A50" s="91">
        <v>49</v>
      </c>
      <c r="B50" s="99" t="s">
        <v>134</v>
      </c>
      <c r="C50" s="23" t="s">
        <v>29</v>
      </c>
      <c r="D50" s="25">
        <v>48</v>
      </c>
      <c r="E50" s="25">
        <v>18</v>
      </c>
      <c r="F50" s="88" t="s">
        <v>72</v>
      </c>
      <c r="G50">
        <f t="shared" si="10"/>
        <v>600000</v>
      </c>
      <c r="H50">
        <f t="shared" si="8"/>
        <v>450000</v>
      </c>
      <c r="I50" s="2">
        <f t="shared" si="9"/>
        <v>1050000</v>
      </c>
      <c r="J50" s="100" t="s">
        <v>134</v>
      </c>
      <c r="K50" s="90">
        <v>1050000</v>
      </c>
    </row>
    <row r="51">
      <c r="A51" s="91">
        <v>50</v>
      </c>
      <c r="B51" s="24" t="s">
        <v>135</v>
      </c>
      <c r="C51" s="23" t="s">
        <v>29</v>
      </c>
      <c r="D51" s="24">
        <v>40</v>
      </c>
      <c r="E51" s="24">
        <v>15</v>
      </c>
      <c r="F51" s="88" t="s">
        <v>72</v>
      </c>
      <c r="G51">
        <f t="shared" si="10"/>
        <v>500000</v>
      </c>
      <c r="H51">
        <f t="shared" si="8"/>
        <v>375000</v>
      </c>
      <c r="I51" s="2">
        <f t="shared" si="9"/>
        <v>875000</v>
      </c>
      <c r="J51" s="95" t="s">
        <v>135</v>
      </c>
      <c r="K51" s="90">
        <v>875000</v>
      </c>
    </row>
    <row r="52">
      <c r="A52" s="91">
        <v>51</v>
      </c>
      <c r="B52" s="24" t="s">
        <v>136</v>
      </c>
      <c r="C52" s="23" t="s">
        <v>29</v>
      </c>
      <c r="D52" s="24">
        <v>48</v>
      </c>
      <c r="E52" s="24">
        <v>18</v>
      </c>
      <c r="F52" s="88" t="s">
        <v>72</v>
      </c>
      <c r="G52">
        <f t="shared" si="10"/>
        <v>600000</v>
      </c>
      <c r="H52">
        <f t="shared" si="8"/>
        <v>450000</v>
      </c>
      <c r="I52" s="2">
        <f t="shared" si="9"/>
        <v>1050000</v>
      </c>
      <c r="J52" s="95" t="s">
        <v>136</v>
      </c>
      <c r="K52" s="90">
        <v>1050000</v>
      </c>
    </row>
    <row r="53">
      <c r="A53" s="91">
        <v>52</v>
      </c>
      <c r="B53" s="24" t="s">
        <v>137</v>
      </c>
      <c r="C53" s="23" t="s">
        <v>29</v>
      </c>
      <c r="D53" s="24">
        <v>32</v>
      </c>
      <c r="E53" s="24">
        <v>7.5</v>
      </c>
      <c r="F53" s="88" t="s">
        <v>72</v>
      </c>
      <c r="G53">
        <f t="shared" si="10"/>
        <v>400000</v>
      </c>
      <c r="H53">
        <f t="shared" si="8"/>
        <v>187500</v>
      </c>
      <c r="I53" s="2">
        <f t="shared" si="9"/>
        <v>587500</v>
      </c>
      <c r="J53" s="95" t="s">
        <v>137</v>
      </c>
      <c r="K53" s="90">
        <v>587500</v>
      </c>
    </row>
    <row r="54">
      <c r="A54" s="91">
        <v>53</v>
      </c>
      <c r="B54" s="24" t="s">
        <v>138</v>
      </c>
      <c r="C54" s="23" t="s">
        <v>139</v>
      </c>
      <c r="D54" s="42">
        <v>32</v>
      </c>
      <c r="E54" s="42">
        <v>12</v>
      </c>
      <c r="F54" s="88" t="s">
        <v>72</v>
      </c>
      <c r="G54">
        <f>D54*18181.82</f>
        <v>581818.23999999999</v>
      </c>
      <c r="H54">
        <f>E54*18181.82</f>
        <v>218181.84</v>
      </c>
      <c r="I54" s="104">
        <f t="shared" si="9"/>
        <v>800000.07999999996</v>
      </c>
      <c r="J54" s="95" t="s">
        <v>138</v>
      </c>
      <c r="K54" s="105">
        <v>0</v>
      </c>
    </row>
    <row r="55">
      <c r="A55" s="91">
        <v>54</v>
      </c>
      <c r="B55" s="24" t="s">
        <v>140</v>
      </c>
      <c r="C55" s="23" t="s">
        <v>29</v>
      </c>
      <c r="D55" s="24">
        <v>8</v>
      </c>
      <c r="E55" s="24">
        <v>1</v>
      </c>
      <c r="F55" s="88" t="s">
        <v>72</v>
      </c>
      <c r="G55">
        <f t="shared" si="10"/>
        <v>100000</v>
      </c>
      <c r="H55">
        <f t="shared" si="8"/>
        <v>25000</v>
      </c>
      <c r="I55" s="2">
        <f t="shared" si="9"/>
        <v>125000</v>
      </c>
      <c r="J55" s="95" t="s">
        <v>140</v>
      </c>
      <c r="K55" s="90">
        <v>125000</v>
      </c>
    </row>
    <row r="56">
      <c r="A56" s="91">
        <v>55</v>
      </c>
      <c r="B56" s="24" t="s">
        <v>141</v>
      </c>
      <c r="C56" s="23" t="s">
        <v>29</v>
      </c>
      <c r="D56" s="24">
        <v>8</v>
      </c>
      <c r="E56" s="24">
        <v>1</v>
      </c>
      <c r="F56" s="88" t="s">
        <v>72</v>
      </c>
      <c r="G56">
        <f t="shared" si="10"/>
        <v>100000</v>
      </c>
      <c r="H56">
        <f t="shared" si="8"/>
        <v>25000</v>
      </c>
      <c r="I56" s="2">
        <f t="shared" si="9"/>
        <v>125000</v>
      </c>
      <c r="J56" s="95" t="s">
        <v>141</v>
      </c>
      <c r="K56" s="90">
        <v>125000</v>
      </c>
    </row>
    <row r="57">
      <c r="A57" s="91">
        <v>56</v>
      </c>
      <c r="B57" s="24" t="s">
        <v>142</v>
      </c>
      <c r="C57" s="23" t="s">
        <v>29</v>
      </c>
      <c r="D57" s="24">
        <v>8</v>
      </c>
      <c r="E57" s="24">
        <v>1</v>
      </c>
      <c r="F57" s="88" t="s">
        <v>72</v>
      </c>
      <c r="G57">
        <f t="shared" si="10"/>
        <v>100000</v>
      </c>
      <c r="H57">
        <f t="shared" si="8"/>
        <v>25000</v>
      </c>
      <c r="I57" s="2">
        <f t="shared" si="9"/>
        <v>125000</v>
      </c>
      <c r="J57" s="95" t="s">
        <v>142</v>
      </c>
      <c r="K57" s="90">
        <v>125000</v>
      </c>
    </row>
    <row r="58">
      <c r="A58" s="91">
        <v>57</v>
      </c>
      <c r="B58" s="24" t="s">
        <v>143</v>
      </c>
      <c r="C58" s="23" t="s">
        <v>29</v>
      </c>
      <c r="D58" s="24">
        <v>32</v>
      </c>
      <c r="E58" s="24">
        <v>12</v>
      </c>
      <c r="F58" s="88" t="s">
        <v>72</v>
      </c>
      <c r="G58">
        <f t="shared" si="10"/>
        <v>400000</v>
      </c>
      <c r="H58">
        <f t="shared" si="8"/>
        <v>300000</v>
      </c>
      <c r="I58" s="2">
        <f t="shared" si="9"/>
        <v>700000</v>
      </c>
      <c r="J58" s="95" t="s">
        <v>143</v>
      </c>
      <c r="K58" s="90">
        <v>700000</v>
      </c>
    </row>
    <row r="59">
      <c r="A59" s="91">
        <v>58</v>
      </c>
      <c r="B59" s="24" t="s">
        <v>144</v>
      </c>
      <c r="C59" s="23" t="s">
        <v>29</v>
      </c>
      <c r="D59" s="24">
        <v>40</v>
      </c>
      <c r="E59" s="24">
        <v>15</v>
      </c>
      <c r="F59" s="88" t="s">
        <v>72</v>
      </c>
      <c r="G59">
        <f t="shared" si="10"/>
        <v>500000</v>
      </c>
      <c r="H59">
        <f t="shared" si="8"/>
        <v>375000</v>
      </c>
      <c r="I59" s="2">
        <f t="shared" si="9"/>
        <v>875000</v>
      </c>
      <c r="J59" s="95" t="s">
        <v>144</v>
      </c>
      <c r="K59" s="90">
        <v>875000</v>
      </c>
    </row>
    <row r="60">
      <c r="D60" s="106"/>
      <c r="E60" s="106"/>
      <c r="G60" s="107">
        <f>SUM(G2:G59)</f>
        <v>30100568.239999998</v>
      </c>
      <c r="H60" s="107">
        <f>SUM(H2:H59)</f>
        <v>18880681.84</v>
      </c>
      <c r="I60" s="108">
        <f>SUM(I2:I59)</f>
        <v>48981250.079999998</v>
      </c>
    </row>
  </sheetData>
  <autoFilter ref="B1:B60"/>
  <printOptions headings="0" gridLines="0"/>
  <pageMargins left="1.2" right="0.69999999999999996" top="0.5" bottom="0.75" header="0.29999999999999999" footer="0.29999999999999999"/>
  <pageSetup paperSize="9" scale="8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2</cp:revision>
  <dcterms:created xsi:type="dcterms:W3CDTF">2024-09-27T19:22:54Z</dcterms:created>
  <dcterms:modified xsi:type="dcterms:W3CDTF">2026-08-25T20:03:13Z</dcterms:modified>
</cp:coreProperties>
</file>